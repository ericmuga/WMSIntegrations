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13_ncr:1_{BC07A618-4A13-47B0-9AA7-043053494025}" xr6:coauthVersionLast="47" xr6:coauthVersionMax="47" xr10:uidLastSave="{00000000-0000-0000-0000-000000000000}"/>
  <bookViews>
    <workbookView xWindow="-108" yWindow="-108" windowWidth="23256" windowHeight="12576" xr2:uid="{A342CD5A-2E66-43CA-A1B1-F7048CB30F94}"/>
  </bookViews>
  <sheets>
    <sheet name="Sheet1" sheetId="1" r:id="rId1"/>
  </sheets>
  <definedNames>
    <definedName name="_xlnm._FilterDatabase" localSheetId="0" hidden="1">Sheet1!$A$1:$Q$137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7" i="1" l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2" i="1"/>
</calcChain>
</file>

<file path=xl/sharedStrings.xml><?xml version="1.0" encoding="utf-8"?>
<sst xmlns="http://schemas.openxmlformats.org/spreadsheetml/2006/main" count="1514" uniqueCount="354">
  <si>
    <t>id</t>
  </si>
  <si>
    <t>Process</t>
  </si>
  <si>
    <t>output_item</t>
  </si>
  <si>
    <t>recipe</t>
  </si>
  <si>
    <t>output_item_dec</t>
  </si>
  <si>
    <t>output_item_uom</t>
  </si>
  <si>
    <t>batch_size</t>
  </si>
  <si>
    <t>output_item_location</t>
  </si>
  <si>
    <t>input_item</t>
  </si>
  <si>
    <t>input_item_desc</t>
  </si>
  <si>
    <t>input_item_uom</t>
  </si>
  <si>
    <t>input_item_qt_per</t>
  </si>
  <si>
    <t>input_item_location</t>
  </si>
  <si>
    <t>process_code</t>
  </si>
  <si>
    <t>no_series</t>
  </si>
  <si>
    <t>routing</t>
  </si>
  <si>
    <t>Packing</t>
  </si>
  <si>
    <t>J31010101</t>
  </si>
  <si>
    <t>1230R15</t>
  </si>
  <si>
    <t>NULL</t>
  </si>
  <si>
    <t>KG</t>
  </si>
  <si>
    <t>G2345</t>
  </si>
  <si>
    <t>Filled Pork/Ck-tail, Chipolata</t>
  </si>
  <si>
    <t>1230R15E</t>
  </si>
  <si>
    <t>J31015102</t>
  </si>
  <si>
    <t>1230R35</t>
  </si>
  <si>
    <t>J31015101</t>
  </si>
  <si>
    <t>1230R36</t>
  </si>
  <si>
    <t>G2309</t>
  </si>
  <si>
    <t>Filled Beef Chipolatas</t>
  </si>
  <si>
    <t>1230R36E</t>
  </si>
  <si>
    <t>J31015404</t>
  </si>
  <si>
    <t>1230R42</t>
  </si>
  <si>
    <t>G2206</t>
  </si>
  <si>
    <t>Mix for Beef Catering Z</t>
  </si>
  <si>
    <t>J31015402</t>
  </si>
  <si>
    <t>1230R46</t>
  </si>
  <si>
    <t>J31015801</t>
  </si>
  <si>
    <t>1230R56</t>
  </si>
  <si>
    <t>G2441</t>
  </si>
  <si>
    <t>Filled Boerewors 500 gms</t>
  </si>
  <si>
    <t>1230R60</t>
  </si>
  <si>
    <t>J31010601</t>
  </si>
  <si>
    <t>1230R63</t>
  </si>
  <si>
    <t>G2310</t>
  </si>
  <si>
    <t>1230R63E</t>
  </si>
  <si>
    <t>J31100146</t>
  </si>
  <si>
    <t>1230R67</t>
  </si>
  <si>
    <t>G2353</t>
  </si>
  <si>
    <t>Filled Fresh Beef Burger 100g</t>
  </si>
  <si>
    <t>1230R67E</t>
  </si>
  <si>
    <t>J31015201</t>
  </si>
  <si>
    <t>1230R75</t>
  </si>
  <si>
    <t>G2308</t>
  </si>
  <si>
    <t>Filled Beef Sausages</t>
  </si>
  <si>
    <t>1230R75E</t>
  </si>
  <si>
    <t>J31010301</t>
  </si>
  <si>
    <t>1230R77E</t>
  </si>
  <si>
    <t>G2311</t>
  </si>
  <si>
    <t>Filled Pork Ssg, Catering, IQF</t>
  </si>
  <si>
    <t>J31010302</t>
  </si>
  <si>
    <t>1230R79</t>
  </si>
  <si>
    <t>1230R79E</t>
  </si>
  <si>
    <t>J31100131</t>
  </si>
  <si>
    <t>1230R82</t>
  </si>
  <si>
    <t>G2267</t>
  </si>
  <si>
    <t>Mix For Minced Beef (Fresh)</t>
  </si>
  <si>
    <t>J31090115</t>
  </si>
  <si>
    <t>1230R83</t>
  </si>
  <si>
    <t>G2005</t>
  </si>
  <si>
    <t>Minced Lean Pork</t>
  </si>
  <si>
    <t>J31090145</t>
  </si>
  <si>
    <t>1230R85</t>
  </si>
  <si>
    <t>G2233</t>
  </si>
  <si>
    <t>Mix 4 Minced (Ground) Pork xpt</t>
  </si>
  <si>
    <t>1230R85E</t>
  </si>
  <si>
    <t>J31090146</t>
  </si>
  <si>
    <t>1230R87</t>
  </si>
  <si>
    <t>G2252</t>
  </si>
  <si>
    <t>Mix For Minced Pork (Local)</t>
  </si>
  <si>
    <t>J31090146E</t>
  </si>
  <si>
    <t>J31010502</t>
  </si>
  <si>
    <t>1230R89</t>
  </si>
  <si>
    <t>G2313</t>
  </si>
  <si>
    <t>Filled Pork Value Pack Ssgs</t>
  </si>
  <si>
    <t>1230R89E</t>
  </si>
  <si>
    <t>J31010504</t>
  </si>
  <si>
    <t>1230R94</t>
  </si>
  <si>
    <t>J31010503</t>
  </si>
  <si>
    <t>1230S03</t>
  </si>
  <si>
    <t>J31010505</t>
  </si>
  <si>
    <t>1230S17</t>
  </si>
  <si>
    <t>G2306</t>
  </si>
  <si>
    <t>Filled Beef Catering Z [D260]</t>
  </si>
  <si>
    <t>J31015301</t>
  </si>
  <si>
    <t>1230S18</t>
  </si>
  <si>
    <t>G2325</t>
  </si>
  <si>
    <t>Filled Spicy Pork Sausages</t>
  </si>
  <si>
    <t>1230S18E</t>
  </si>
  <si>
    <t>J31010102</t>
  </si>
  <si>
    <t>1230S24</t>
  </si>
  <si>
    <t>J31010201</t>
  </si>
  <si>
    <t>1230S33</t>
  </si>
  <si>
    <t>G2321</t>
  </si>
  <si>
    <t>Filled Premium Pork Sausages</t>
  </si>
  <si>
    <t>1230S33E</t>
  </si>
  <si>
    <t>J31010401</t>
  </si>
  <si>
    <t>1230S42</t>
  </si>
  <si>
    <t>1230S42E</t>
  </si>
  <si>
    <t>J31015401</t>
  </si>
  <si>
    <t>1230S49</t>
  </si>
  <si>
    <t>G2377</t>
  </si>
  <si>
    <t>Filled Beef Value Packs</t>
  </si>
  <si>
    <t>1230S49E</t>
  </si>
  <si>
    <t>J31015803</t>
  </si>
  <si>
    <t>1230S51</t>
  </si>
  <si>
    <t>G2349</t>
  </si>
  <si>
    <t>Filled Boerewors 1Kg</t>
  </si>
  <si>
    <t>1230S51E</t>
  </si>
  <si>
    <t>J31010406</t>
  </si>
  <si>
    <t>1230S52</t>
  </si>
  <si>
    <t>G2225</t>
  </si>
  <si>
    <t>Mix for Spicy Pork Sausages</t>
  </si>
  <si>
    <t>J31019101</t>
  </si>
  <si>
    <t>1230S55E</t>
  </si>
  <si>
    <t>G2378</t>
  </si>
  <si>
    <t>Filled Chicken Sausages</t>
  </si>
  <si>
    <t>J31100196</t>
  </si>
  <si>
    <t>1230S56</t>
  </si>
  <si>
    <t>G1468</t>
  </si>
  <si>
    <t>Beef Cubes [M]</t>
  </si>
  <si>
    <t>J31121031</t>
  </si>
  <si>
    <t>1230S63</t>
  </si>
  <si>
    <t>G2268</t>
  </si>
  <si>
    <t>Mix for Minced Ref. Lamb Meat</t>
  </si>
  <si>
    <t>J31019126</t>
  </si>
  <si>
    <t>1230S77</t>
  </si>
  <si>
    <t>J31100213</t>
  </si>
  <si>
    <t>1230S81E</t>
  </si>
  <si>
    <t>J31120111</t>
  </si>
  <si>
    <t>1230S84</t>
  </si>
  <si>
    <t>G2404</t>
  </si>
  <si>
    <t>Filled Chicken Burger[NC]- 1Kg</t>
  </si>
  <si>
    <t>J31015811</t>
  </si>
  <si>
    <t>1230S88</t>
  </si>
  <si>
    <t>G2407</t>
  </si>
  <si>
    <t>Filled Boerewors [D230] 1Kg</t>
  </si>
  <si>
    <t>J31120115</t>
  </si>
  <si>
    <t>1230S99</t>
  </si>
  <si>
    <t>G2457</t>
  </si>
  <si>
    <t>Filled Chicken Burger[NC]-400g</t>
  </si>
  <si>
    <t>1230S99E</t>
  </si>
  <si>
    <t>J31015501</t>
  </si>
  <si>
    <t>1230T08E</t>
  </si>
  <si>
    <t>J31010520</t>
  </si>
  <si>
    <t>1230T10</t>
  </si>
  <si>
    <t>1230T10E</t>
  </si>
  <si>
    <t>J31011301</t>
  </si>
  <si>
    <t>1230T11E</t>
  </si>
  <si>
    <t>J31011302</t>
  </si>
  <si>
    <t>1230T12E</t>
  </si>
  <si>
    <t>J31015601</t>
  </si>
  <si>
    <t>1230T16</t>
  </si>
  <si>
    <t>G2322</t>
  </si>
  <si>
    <t>Filled Safari Beef Sausage</t>
  </si>
  <si>
    <t>1230T16E</t>
  </si>
  <si>
    <t>J31019102</t>
  </si>
  <si>
    <t>1230T17</t>
  </si>
  <si>
    <t>1230T17E</t>
  </si>
  <si>
    <t>J31011201</t>
  </si>
  <si>
    <t>1230T19</t>
  </si>
  <si>
    <t>G2381</t>
  </si>
  <si>
    <t>Filled Pork Sausage IQF</t>
  </si>
  <si>
    <t>1230T19E</t>
  </si>
  <si>
    <t>J31011504</t>
  </si>
  <si>
    <t>1230T21</t>
  </si>
  <si>
    <t>G2419</t>
  </si>
  <si>
    <t>Filled Low Fat Pk Ssg, Chipola</t>
  </si>
  <si>
    <t>1230T21E</t>
  </si>
  <si>
    <t>J31015904</t>
  </si>
  <si>
    <t>1230T23</t>
  </si>
  <si>
    <t>1230T23E</t>
  </si>
  <si>
    <t>J31011101</t>
  </si>
  <si>
    <t>1230T25</t>
  </si>
  <si>
    <t>G2338</t>
  </si>
  <si>
    <t>Filled Cumberland IQF Sausage</t>
  </si>
  <si>
    <t>1230T25E</t>
  </si>
  <si>
    <t>J31019106</t>
  </si>
  <si>
    <t>1230T28</t>
  </si>
  <si>
    <t>G2383</t>
  </si>
  <si>
    <t>Filled Chicken Value Pack Ssgs</t>
  </si>
  <si>
    <t>J31011001</t>
  </si>
  <si>
    <t>1230T29E</t>
  </si>
  <si>
    <t>G2358</t>
  </si>
  <si>
    <t>Pork &amp; Herb IQF Ssgs 454gms</t>
  </si>
  <si>
    <t>J31010901</t>
  </si>
  <si>
    <t>1230T30</t>
  </si>
  <si>
    <t>G2359</t>
  </si>
  <si>
    <t>Filled Pork &amp; Garlic IQF Sausg</t>
  </si>
  <si>
    <t>1230T30E</t>
  </si>
  <si>
    <t>J31120150</t>
  </si>
  <si>
    <t>1230T33</t>
  </si>
  <si>
    <t>G2422</t>
  </si>
  <si>
    <t>Filled Vegetable Burger 100g</t>
  </si>
  <si>
    <t>J31100188</t>
  </si>
  <si>
    <t>1230T38</t>
  </si>
  <si>
    <t>G2279</t>
  </si>
  <si>
    <t>Beef Mince, TVP-Caramel enhanc</t>
  </si>
  <si>
    <t>J31100188E</t>
  </si>
  <si>
    <t>J31100116</t>
  </si>
  <si>
    <t>1230T39</t>
  </si>
  <si>
    <t>1230T39E</t>
  </si>
  <si>
    <t>J31015202</t>
  </si>
  <si>
    <t>1230T40</t>
  </si>
  <si>
    <t>1230T40E</t>
  </si>
  <si>
    <t>J31015310</t>
  </si>
  <si>
    <t>1230T46</t>
  </si>
  <si>
    <t>G2429</t>
  </si>
  <si>
    <t>Filled Spicy Beef Value Packs</t>
  </si>
  <si>
    <t>1230T46E</t>
  </si>
  <si>
    <t>J31010420</t>
  </si>
  <si>
    <t>1230T48</t>
  </si>
  <si>
    <t>1230T48E</t>
  </si>
  <si>
    <t>J31019110</t>
  </si>
  <si>
    <t>1230T49</t>
  </si>
  <si>
    <t>G2430</t>
  </si>
  <si>
    <t>Filled Spicy Chicken V/Packs</t>
  </si>
  <si>
    <t>J31015800</t>
  </si>
  <si>
    <t>1230T59</t>
  </si>
  <si>
    <t>J31120160</t>
  </si>
  <si>
    <t>1230T68</t>
  </si>
  <si>
    <t>G2295</t>
  </si>
  <si>
    <t>Minced Beef Square Café Mix</t>
  </si>
  <si>
    <t>J31010620</t>
  </si>
  <si>
    <t>1230T69</t>
  </si>
  <si>
    <t>G2448</t>
  </si>
  <si>
    <t>Filled Lamb Boerewors</t>
  </si>
  <si>
    <t>J31090219</t>
  </si>
  <si>
    <t>1230T71E</t>
  </si>
  <si>
    <t>G2297</t>
  </si>
  <si>
    <t>Pork Mince 454g Mix [Export]</t>
  </si>
  <si>
    <t>J31100390</t>
  </si>
  <si>
    <t>1230T72</t>
  </si>
  <si>
    <t>G2432</t>
  </si>
  <si>
    <t>Filled Beef Meat Balls</t>
  </si>
  <si>
    <t>J31100391</t>
  </si>
  <si>
    <t>1230T75</t>
  </si>
  <si>
    <t>J31015510</t>
  </si>
  <si>
    <t>1230T78E</t>
  </si>
  <si>
    <t>J31090331</t>
  </si>
  <si>
    <t>1230T83</t>
  </si>
  <si>
    <t>G2256</t>
  </si>
  <si>
    <t>Mix for Minced Pork (Local)</t>
  </si>
  <si>
    <t>J31015830</t>
  </si>
  <si>
    <t>1230T85</t>
  </si>
  <si>
    <t>G2475</t>
  </si>
  <si>
    <t>Filled Vegetable Sausage</t>
  </si>
  <si>
    <t>J31015702</t>
  </si>
  <si>
    <t>1230T87</t>
  </si>
  <si>
    <t>G2389B</t>
  </si>
  <si>
    <t>Filled Jumbo Sausage [26pcs]</t>
  </si>
  <si>
    <t>J31015604</t>
  </si>
  <si>
    <t>1230T88E</t>
  </si>
  <si>
    <t>J31015704</t>
  </si>
  <si>
    <t>1230T90E</t>
  </si>
  <si>
    <t>G2206BM</t>
  </si>
  <si>
    <t>Stuffing</t>
  </si>
  <si>
    <t>1230N13</t>
  </si>
  <si>
    <t>1230O76</t>
  </si>
  <si>
    <t>1230N13BM</t>
  </si>
  <si>
    <t>1230O41</t>
  </si>
  <si>
    <t>G2210</t>
  </si>
  <si>
    <t>Mix for Boerewors</t>
  </si>
  <si>
    <t>1230N18</t>
  </si>
  <si>
    <t>G2263</t>
  </si>
  <si>
    <t>Hog Casing</t>
  </si>
  <si>
    <t>1230N70</t>
  </si>
  <si>
    <t>1230O00</t>
  </si>
  <si>
    <t>1230O48</t>
  </si>
  <si>
    <t>G2294</t>
  </si>
  <si>
    <t>Mix for Lamb Boerewors</t>
  </si>
  <si>
    <t>1230O70</t>
  </si>
  <si>
    <t>G2260</t>
  </si>
  <si>
    <t>Mix for Veggie Sausage</t>
  </si>
  <si>
    <t>1230O15</t>
  </si>
  <si>
    <t>G2265</t>
  </si>
  <si>
    <t>Mix for Vegetable Burger - New</t>
  </si>
  <si>
    <t>1230N45</t>
  </si>
  <si>
    <t>G2211</t>
  </si>
  <si>
    <t>Mix for P-Ssg/Cater/Chipol</t>
  </si>
  <si>
    <t>1230N53</t>
  </si>
  <si>
    <t>1230N55</t>
  </si>
  <si>
    <t>1230N06</t>
  </si>
  <si>
    <t>G2208</t>
  </si>
  <si>
    <t>Mix for Beef Sausage/Chipolata</t>
  </si>
  <si>
    <t>1230N14</t>
  </si>
  <si>
    <t>1230N15</t>
  </si>
  <si>
    <t>1230N61</t>
  </si>
  <si>
    <t>G2222</t>
  </si>
  <si>
    <t>Mix for Safari Beef Sausages</t>
  </si>
  <si>
    <t>1230N71</t>
  </si>
  <si>
    <t>G2212</t>
  </si>
  <si>
    <t>Mix for Chicken Sausage</t>
  </si>
  <si>
    <t>1230N76</t>
  </si>
  <si>
    <t>1230N60</t>
  </si>
  <si>
    <t>G2221</t>
  </si>
  <si>
    <t>Mix for Premium Pork Sausage</t>
  </si>
  <si>
    <t>1230O12</t>
  </si>
  <si>
    <t>G2275</t>
  </si>
  <si>
    <t>Mix for Low Fat Bf-Ssg/Chipola</t>
  </si>
  <si>
    <t>1230N74</t>
  </si>
  <si>
    <t>G2258</t>
  </si>
  <si>
    <t>Mix for PSsg IQF Mix</t>
  </si>
  <si>
    <t>1230N04</t>
  </si>
  <si>
    <t>G2250</t>
  </si>
  <si>
    <t>Mix for Pork &amp; Garlic Sausages</t>
  </si>
  <si>
    <t>1230N93</t>
  </si>
  <si>
    <t>G2266</t>
  </si>
  <si>
    <t>Mix for Cumberland IQF</t>
  </si>
  <si>
    <t>1230N54</t>
  </si>
  <si>
    <t>G2249</t>
  </si>
  <si>
    <t>Mix for Pork &amp; Herb Sausages</t>
  </si>
  <si>
    <t>1230N67</t>
  </si>
  <si>
    <t>1230O25</t>
  </si>
  <si>
    <t>1230O27</t>
  </si>
  <si>
    <t>G2289</t>
  </si>
  <si>
    <t>Mix for Spicy Chicken Sausages</t>
  </si>
  <si>
    <t>1230N01</t>
  </si>
  <si>
    <t>G2285</t>
  </si>
  <si>
    <t>Mix for Fresh Beef Burger[Alt]</t>
  </si>
  <si>
    <t>1230O29</t>
  </si>
  <si>
    <t>G2287</t>
  </si>
  <si>
    <t>Mix for Beef Meat Balls</t>
  </si>
  <si>
    <t>G2411</t>
  </si>
  <si>
    <t>1230O74</t>
  </si>
  <si>
    <t>G22701</t>
  </si>
  <si>
    <t>Mix for Java Fresh Beef Burger</t>
  </si>
  <si>
    <t>1230N97</t>
  </si>
  <si>
    <t>G2269</t>
  </si>
  <si>
    <t>Mix for Chicken Burgers</t>
  </si>
  <si>
    <t>1230O04</t>
  </si>
  <si>
    <t>1230T08</t>
  </si>
  <si>
    <t>J31120153</t>
  </si>
  <si>
    <t>1230T91</t>
  </si>
  <si>
    <t>J31100401</t>
  </si>
  <si>
    <t>1230T02</t>
  </si>
  <si>
    <t>Filled Java Beef Burger160g</t>
  </si>
  <si>
    <t>1230T88</t>
  </si>
  <si>
    <t>1230S81</t>
  </si>
  <si>
    <t>1230T28E</t>
  </si>
  <si>
    <t xml:space="preserve"> </t>
  </si>
  <si>
    <t>Left 1</t>
  </si>
  <si>
    <t>P20</t>
  </si>
  <si>
    <t>Packing-2055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</si>
</sst>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2" fontId="0" fillId="0" borderId="0" xfId="0" applyNumberFormat="1"/>
    <xf numFmtId="43" fontId="0" fillId="2" borderId="0" xfId="1" applyFont="1" applyFill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AE67-EC72-4266-BE2F-C7992943BEB5}">
  <dimension ref="A1:R143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11" sqref="K11"/>
    </sheetView>
  </sheetViews>
  <sheetFormatPr defaultRowHeight="14.4" x14ac:dyDescent="0.3"/>
  <cols>
    <col min="3" max="3" width="14.5546875" customWidth="1"/>
    <col min="4" max="4" width="13.77734375" customWidth="1"/>
    <col min="7" max="7" width="8.88671875" style="4"/>
    <col min="11" max="11" width="29.109375" customWidth="1"/>
    <col min="13" max="13" width="8.88671875" style="4"/>
    <col min="15" max="15" width="14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351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8" x14ac:dyDescent="0.3">
      <c r="A2">
        <v>5889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4">
        <v>82.486799999999988</v>
      </c>
      <c r="H2">
        <v>3535</v>
      </c>
      <c r="I2" t="s">
        <v>21</v>
      </c>
      <c r="J2" t="str">
        <f>LEFT(I2,1)</f>
        <v>G</v>
      </c>
      <c r="K2" t="s">
        <v>22</v>
      </c>
      <c r="L2" t="s">
        <v>20</v>
      </c>
      <c r="M2" s="4">
        <f>G2*1.01</f>
        <v>83.311667999999983</v>
      </c>
      <c r="N2">
        <v>2055</v>
      </c>
      <c r="O2" t="s">
        <v>352</v>
      </c>
      <c r="P2" t="s">
        <v>352</v>
      </c>
      <c r="Q2" t="s">
        <v>353</v>
      </c>
    </row>
    <row r="3" spans="1:18" x14ac:dyDescent="0.3">
      <c r="A3">
        <v>5891</v>
      </c>
      <c r="B3" t="s">
        <v>16</v>
      </c>
      <c r="C3" t="s">
        <v>17</v>
      </c>
      <c r="D3" t="s">
        <v>23</v>
      </c>
      <c r="E3" t="s">
        <v>19</v>
      </c>
      <c r="F3" t="s">
        <v>20</v>
      </c>
      <c r="G3" s="4">
        <v>82.486799999999988</v>
      </c>
      <c r="H3">
        <v>3600</v>
      </c>
      <c r="I3" t="s">
        <v>21</v>
      </c>
      <c r="J3" t="str">
        <f t="shared" ref="J3:J22" si="0">LEFT(I3,1)</f>
        <v>G</v>
      </c>
      <c r="K3" t="s">
        <v>22</v>
      </c>
      <c r="L3" t="s">
        <v>20</v>
      </c>
      <c r="M3" s="4">
        <f>G3*1.01</f>
        <v>83.311667999999983</v>
      </c>
      <c r="N3">
        <v>2055</v>
      </c>
      <c r="O3" t="s">
        <v>352</v>
      </c>
      <c r="P3" t="s">
        <v>352</v>
      </c>
      <c r="Q3" t="s">
        <v>353</v>
      </c>
    </row>
    <row r="4" spans="1:18" x14ac:dyDescent="0.3">
      <c r="A4">
        <v>5893</v>
      </c>
      <c r="B4" t="s">
        <v>16</v>
      </c>
      <c r="C4" t="s">
        <v>24</v>
      </c>
      <c r="D4" t="s">
        <v>25</v>
      </c>
      <c r="E4" t="s">
        <v>19</v>
      </c>
      <c r="F4" t="s">
        <v>20</v>
      </c>
      <c r="G4" s="4">
        <v>82.486799999999988</v>
      </c>
      <c r="H4">
        <v>3535</v>
      </c>
      <c r="I4" t="s">
        <v>21</v>
      </c>
      <c r="J4" t="str">
        <f t="shared" si="0"/>
        <v>G</v>
      </c>
      <c r="K4" t="s">
        <v>22</v>
      </c>
      <c r="L4" t="s">
        <v>20</v>
      </c>
      <c r="M4" s="4">
        <f>G4*1.01</f>
        <v>83.311667999999983</v>
      </c>
      <c r="N4">
        <v>2055</v>
      </c>
      <c r="O4" t="s">
        <v>352</v>
      </c>
      <c r="P4" t="s">
        <v>352</v>
      </c>
      <c r="Q4" t="s">
        <v>353</v>
      </c>
    </row>
    <row r="5" spans="1:18" x14ac:dyDescent="0.3">
      <c r="A5">
        <v>5899</v>
      </c>
      <c r="B5" t="s">
        <v>16</v>
      </c>
      <c r="C5" t="s">
        <v>26</v>
      </c>
      <c r="D5" t="s">
        <v>27</v>
      </c>
      <c r="E5" t="s">
        <v>19</v>
      </c>
      <c r="F5" t="s">
        <v>20</v>
      </c>
      <c r="G5" s="4">
        <v>80.58</v>
      </c>
      <c r="H5">
        <v>3535</v>
      </c>
      <c r="I5" t="s">
        <v>28</v>
      </c>
      <c r="J5" t="str">
        <f t="shared" si="0"/>
        <v>G</v>
      </c>
      <c r="K5" t="s">
        <v>29</v>
      </c>
      <c r="L5" t="s">
        <v>20</v>
      </c>
      <c r="M5" s="4">
        <f>G5*1.01</f>
        <v>81.385800000000003</v>
      </c>
      <c r="N5">
        <v>2055</v>
      </c>
      <c r="O5" t="s">
        <v>352</v>
      </c>
      <c r="P5" t="s">
        <v>352</v>
      </c>
      <c r="Q5" t="s">
        <v>353</v>
      </c>
    </row>
    <row r="6" spans="1:18" x14ac:dyDescent="0.3">
      <c r="A6">
        <v>5901</v>
      </c>
      <c r="B6" t="s">
        <v>16</v>
      </c>
      <c r="C6" t="s">
        <v>26</v>
      </c>
      <c r="D6" t="s">
        <v>30</v>
      </c>
      <c r="E6" t="s">
        <v>19</v>
      </c>
      <c r="F6" t="s">
        <v>20</v>
      </c>
      <c r="G6" s="4">
        <v>80.58</v>
      </c>
      <c r="H6">
        <v>3600</v>
      </c>
      <c r="I6" t="s">
        <v>28</v>
      </c>
      <c r="J6" t="str">
        <f t="shared" si="0"/>
        <v>G</v>
      </c>
      <c r="K6" t="s">
        <v>29</v>
      </c>
      <c r="L6" t="s">
        <v>20</v>
      </c>
      <c r="M6" s="4">
        <f>G6*1.01</f>
        <v>81.385800000000003</v>
      </c>
      <c r="N6">
        <v>2055</v>
      </c>
      <c r="O6" t="s">
        <v>352</v>
      </c>
      <c r="P6" t="s">
        <v>352</v>
      </c>
      <c r="Q6" t="s">
        <v>353</v>
      </c>
    </row>
    <row r="7" spans="1:18" x14ac:dyDescent="0.3">
      <c r="A7">
        <v>5903</v>
      </c>
      <c r="B7" t="s">
        <v>16</v>
      </c>
      <c r="C7" t="s">
        <v>31</v>
      </c>
      <c r="D7" t="s">
        <v>32</v>
      </c>
      <c r="E7" t="s">
        <v>19</v>
      </c>
      <c r="F7" t="s">
        <v>20</v>
      </c>
      <c r="G7" s="4">
        <v>85.96</v>
      </c>
      <c r="H7">
        <v>3535</v>
      </c>
      <c r="I7" t="s">
        <v>33</v>
      </c>
      <c r="J7" t="str">
        <f t="shared" si="0"/>
        <v>G</v>
      </c>
      <c r="K7" t="s">
        <v>34</v>
      </c>
      <c r="L7" t="s">
        <v>20</v>
      </c>
      <c r="M7" s="4">
        <f>G7*1.01</f>
        <v>86.819599999999994</v>
      </c>
      <c r="N7">
        <v>2055</v>
      </c>
      <c r="O7" t="s">
        <v>352</v>
      </c>
      <c r="P7" t="s">
        <v>352</v>
      </c>
      <c r="Q7" t="s">
        <v>353</v>
      </c>
    </row>
    <row r="8" spans="1:18" x14ac:dyDescent="0.3">
      <c r="A8">
        <v>5909</v>
      </c>
      <c r="B8" t="s">
        <v>16</v>
      </c>
      <c r="C8" t="s">
        <v>35</v>
      </c>
      <c r="D8" t="s">
        <v>36</v>
      </c>
      <c r="E8" t="s">
        <v>19</v>
      </c>
      <c r="F8" t="s">
        <v>20</v>
      </c>
      <c r="G8" s="4">
        <v>85.96</v>
      </c>
      <c r="H8">
        <v>3535</v>
      </c>
      <c r="I8" t="s">
        <v>33</v>
      </c>
      <c r="J8" t="str">
        <f t="shared" si="0"/>
        <v>G</v>
      </c>
      <c r="K8" t="s">
        <v>34</v>
      </c>
      <c r="L8" t="s">
        <v>20</v>
      </c>
      <c r="M8" s="4">
        <f>G8*1.01</f>
        <v>86.819599999999994</v>
      </c>
      <c r="N8">
        <v>2055</v>
      </c>
      <c r="O8" t="s">
        <v>352</v>
      </c>
      <c r="P8" t="s">
        <v>352</v>
      </c>
      <c r="Q8" t="s">
        <v>353</v>
      </c>
    </row>
    <row r="9" spans="1:18" x14ac:dyDescent="0.3">
      <c r="A9">
        <v>5915</v>
      </c>
      <c r="B9" t="s">
        <v>16</v>
      </c>
      <c r="C9" t="s">
        <v>37</v>
      </c>
      <c r="D9" t="s">
        <v>38</v>
      </c>
      <c r="E9" t="s">
        <v>19</v>
      </c>
      <c r="F9" t="s">
        <v>20</v>
      </c>
      <c r="G9" s="4">
        <v>106.02</v>
      </c>
      <c r="H9">
        <v>3600</v>
      </c>
      <c r="I9" t="s">
        <v>39</v>
      </c>
      <c r="J9" t="str">
        <f t="shared" si="0"/>
        <v>G</v>
      </c>
      <c r="K9" t="s">
        <v>40</v>
      </c>
      <c r="L9" t="s">
        <v>20</v>
      </c>
      <c r="M9" s="4">
        <f>G9*1.01</f>
        <v>107.08019999999999</v>
      </c>
      <c r="N9">
        <v>2055</v>
      </c>
      <c r="O9" t="s">
        <v>352</v>
      </c>
      <c r="P9" t="s">
        <v>352</v>
      </c>
      <c r="Q9" t="s">
        <v>353</v>
      </c>
    </row>
    <row r="10" spans="1:18" x14ac:dyDescent="0.3">
      <c r="A10">
        <v>5919</v>
      </c>
      <c r="B10" t="s">
        <v>16</v>
      </c>
      <c r="C10" t="s">
        <v>37</v>
      </c>
      <c r="D10" t="s">
        <v>41</v>
      </c>
      <c r="E10" t="s">
        <v>19</v>
      </c>
      <c r="F10" t="s">
        <v>20</v>
      </c>
      <c r="G10" s="4">
        <v>106.02</v>
      </c>
      <c r="H10">
        <v>3535</v>
      </c>
      <c r="I10" t="s">
        <v>39</v>
      </c>
      <c r="J10" t="str">
        <f t="shared" si="0"/>
        <v>G</v>
      </c>
      <c r="K10" t="s">
        <v>40</v>
      </c>
      <c r="L10" t="s">
        <v>20</v>
      </c>
      <c r="M10" s="4">
        <f>G10*1.01</f>
        <v>107.08019999999999</v>
      </c>
      <c r="N10">
        <v>2055</v>
      </c>
      <c r="O10" t="s">
        <v>352</v>
      </c>
      <c r="P10" t="s">
        <v>352</v>
      </c>
      <c r="Q10" t="s">
        <v>353</v>
      </c>
      <c r="R10" s="2"/>
    </row>
    <row r="11" spans="1:18" x14ac:dyDescent="0.3">
      <c r="A11">
        <v>5923</v>
      </c>
      <c r="B11" t="s">
        <v>16</v>
      </c>
      <c r="C11" t="s">
        <v>42</v>
      </c>
      <c r="D11" t="s">
        <v>43</v>
      </c>
      <c r="E11" t="s">
        <v>19</v>
      </c>
      <c r="F11" t="s">
        <v>20</v>
      </c>
      <c r="G11" s="4">
        <v>106.02</v>
      </c>
      <c r="H11">
        <v>3535</v>
      </c>
      <c r="I11" t="s">
        <v>44</v>
      </c>
      <c r="J11" t="str">
        <f t="shared" si="0"/>
        <v>G</v>
      </c>
      <c r="K11" t="s">
        <v>40</v>
      </c>
      <c r="L11" t="s">
        <v>20</v>
      </c>
      <c r="M11" s="4">
        <f>G11*1.01</f>
        <v>107.08019999999999</v>
      </c>
      <c r="N11">
        <v>2055</v>
      </c>
      <c r="O11" t="s">
        <v>352</v>
      </c>
      <c r="P11" t="s">
        <v>352</v>
      </c>
      <c r="Q11" t="s">
        <v>353</v>
      </c>
    </row>
    <row r="12" spans="1:18" x14ac:dyDescent="0.3">
      <c r="A12">
        <v>5927</v>
      </c>
      <c r="B12" t="s">
        <v>16</v>
      </c>
      <c r="C12" t="s">
        <v>42</v>
      </c>
      <c r="D12" t="s">
        <v>45</v>
      </c>
      <c r="E12" t="s">
        <v>19</v>
      </c>
      <c r="F12" t="s">
        <v>20</v>
      </c>
      <c r="G12" s="4">
        <v>106.02</v>
      </c>
      <c r="H12">
        <v>3600</v>
      </c>
      <c r="I12" t="s">
        <v>44</v>
      </c>
      <c r="J12" t="str">
        <f t="shared" si="0"/>
        <v>G</v>
      </c>
      <c r="K12" t="s">
        <v>40</v>
      </c>
      <c r="L12" t="s">
        <v>20</v>
      </c>
      <c r="M12" s="4">
        <f>G12*1.01</f>
        <v>107.08019999999999</v>
      </c>
      <c r="N12">
        <v>2055</v>
      </c>
      <c r="O12" t="s">
        <v>352</v>
      </c>
      <c r="P12" t="s">
        <v>352</v>
      </c>
      <c r="Q12" t="s">
        <v>353</v>
      </c>
    </row>
    <row r="13" spans="1:18" x14ac:dyDescent="0.3">
      <c r="A13">
        <v>5931</v>
      </c>
      <c r="B13" t="s">
        <v>16</v>
      </c>
      <c r="C13" t="s">
        <v>46</v>
      </c>
      <c r="D13" t="s">
        <v>47</v>
      </c>
      <c r="E13" t="s">
        <v>19</v>
      </c>
      <c r="F13" t="s">
        <v>20</v>
      </c>
      <c r="G13" s="4">
        <v>81</v>
      </c>
      <c r="H13">
        <v>3535</v>
      </c>
      <c r="I13" t="s">
        <v>48</v>
      </c>
      <c r="J13" t="str">
        <f t="shared" si="0"/>
        <v>G</v>
      </c>
      <c r="K13" t="s">
        <v>49</v>
      </c>
      <c r="L13" t="s">
        <v>20</v>
      </c>
      <c r="M13" s="4">
        <f>G13*1.01</f>
        <v>81.81</v>
      </c>
      <c r="N13">
        <v>2055</v>
      </c>
      <c r="O13" t="s">
        <v>352</v>
      </c>
      <c r="P13" t="s">
        <v>352</v>
      </c>
      <c r="Q13" t="s">
        <v>353</v>
      </c>
    </row>
    <row r="14" spans="1:18" x14ac:dyDescent="0.3">
      <c r="A14">
        <v>5934</v>
      </c>
      <c r="B14" t="s">
        <v>16</v>
      </c>
      <c r="C14" t="s">
        <v>46</v>
      </c>
      <c r="D14" t="s">
        <v>50</v>
      </c>
      <c r="E14" t="s">
        <v>19</v>
      </c>
      <c r="F14" t="s">
        <v>20</v>
      </c>
      <c r="G14" s="4">
        <v>81</v>
      </c>
      <c r="H14">
        <v>3600</v>
      </c>
      <c r="I14" t="s">
        <v>48</v>
      </c>
      <c r="J14" t="str">
        <f t="shared" si="0"/>
        <v>G</v>
      </c>
      <c r="K14" t="s">
        <v>49</v>
      </c>
      <c r="L14" t="s">
        <v>20</v>
      </c>
      <c r="M14" s="4">
        <f>G14*1.01</f>
        <v>81.81</v>
      </c>
      <c r="N14">
        <v>2055</v>
      </c>
      <c r="O14" t="s">
        <v>352</v>
      </c>
      <c r="P14" t="s">
        <v>352</v>
      </c>
      <c r="Q14" t="s">
        <v>353</v>
      </c>
    </row>
    <row r="15" spans="1:18" x14ac:dyDescent="0.3">
      <c r="A15">
        <v>5937</v>
      </c>
      <c r="B15" t="s">
        <v>16</v>
      </c>
      <c r="C15" t="s">
        <v>51</v>
      </c>
      <c r="D15" t="s">
        <v>52</v>
      </c>
      <c r="E15" t="s">
        <v>19</v>
      </c>
      <c r="F15" t="s">
        <v>20</v>
      </c>
      <c r="G15" s="4">
        <v>80.58</v>
      </c>
      <c r="H15">
        <v>3535</v>
      </c>
      <c r="I15" t="s">
        <v>53</v>
      </c>
      <c r="J15" t="str">
        <f t="shared" si="0"/>
        <v>G</v>
      </c>
      <c r="K15" t="s">
        <v>54</v>
      </c>
      <c r="L15" t="s">
        <v>20</v>
      </c>
      <c r="M15" s="4">
        <f>G15*1.01</f>
        <v>81.385800000000003</v>
      </c>
      <c r="N15">
        <v>2055</v>
      </c>
      <c r="O15" t="s">
        <v>352</v>
      </c>
      <c r="P15" t="s">
        <v>352</v>
      </c>
      <c r="Q15" t="s">
        <v>353</v>
      </c>
    </row>
    <row r="16" spans="1:18" x14ac:dyDescent="0.3">
      <c r="A16">
        <v>5940</v>
      </c>
      <c r="B16" t="s">
        <v>16</v>
      </c>
      <c r="C16" t="s">
        <v>51</v>
      </c>
      <c r="D16" t="s">
        <v>55</v>
      </c>
      <c r="E16" t="s">
        <v>19</v>
      </c>
      <c r="F16" t="s">
        <v>20</v>
      </c>
      <c r="G16" s="4">
        <v>80.58</v>
      </c>
      <c r="H16">
        <v>3600</v>
      </c>
      <c r="I16" t="s">
        <v>53</v>
      </c>
      <c r="J16" t="str">
        <f t="shared" si="0"/>
        <v>G</v>
      </c>
      <c r="K16" t="s">
        <v>54</v>
      </c>
      <c r="L16" t="s">
        <v>20</v>
      </c>
      <c r="M16" s="4">
        <f>G16*1.01</f>
        <v>81.385800000000003</v>
      </c>
      <c r="N16">
        <v>2055</v>
      </c>
      <c r="O16" t="s">
        <v>352</v>
      </c>
      <c r="P16" t="s">
        <v>352</v>
      </c>
      <c r="Q16" t="s">
        <v>353</v>
      </c>
    </row>
    <row r="17" spans="1:17" x14ac:dyDescent="0.3">
      <c r="A17">
        <v>5946</v>
      </c>
      <c r="B17" t="s">
        <v>16</v>
      </c>
      <c r="C17" t="s">
        <v>56</v>
      </c>
      <c r="D17" t="s">
        <v>57</v>
      </c>
      <c r="E17" t="s">
        <v>19</v>
      </c>
      <c r="F17" t="s">
        <v>20</v>
      </c>
      <c r="G17" s="4">
        <v>82.486799999999988</v>
      </c>
      <c r="H17">
        <v>3600</v>
      </c>
      <c r="I17" t="s">
        <v>58</v>
      </c>
      <c r="J17" t="str">
        <f t="shared" si="0"/>
        <v>G</v>
      </c>
      <c r="K17" t="s">
        <v>59</v>
      </c>
      <c r="L17" t="s">
        <v>20</v>
      </c>
      <c r="M17" s="4">
        <f>G17*1.01</f>
        <v>83.311667999999983</v>
      </c>
      <c r="N17">
        <v>2055</v>
      </c>
      <c r="O17" t="s">
        <v>352</v>
      </c>
      <c r="P17" t="s">
        <v>352</v>
      </c>
      <c r="Q17" t="s">
        <v>353</v>
      </c>
    </row>
    <row r="18" spans="1:17" x14ac:dyDescent="0.3">
      <c r="A18">
        <v>5949</v>
      </c>
      <c r="B18" t="s">
        <v>16</v>
      </c>
      <c r="C18" t="s">
        <v>60</v>
      </c>
      <c r="D18" t="s">
        <v>61</v>
      </c>
      <c r="E18" t="s">
        <v>19</v>
      </c>
      <c r="F18" t="s">
        <v>20</v>
      </c>
      <c r="G18" s="4">
        <v>82.486799999999988</v>
      </c>
      <c r="H18">
        <v>3535</v>
      </c>
      <c r="I18" t="s">
        <v>58</v>
      </c>
      <c r="J18" t="str">
        <f t="shared" si="0"/>
        <v>G</v>
      </c>
      <c r="K18" t="s">
        <v>59</v>
      </c>
      <c r="L18" t="s">
        <v>20</v>
      </c>
      <c r="M18" s="4">
        <f>G18*1.01</f>
        <v>83.311667999999983</v>
      </c>
      <c r="N18">
        <v>2055</v>
      </c>
      <c r="O18" t="s">
        <v>352</v>
      </c>
      <c r="P18" t="s">
        <v>352</v>
      </c>
      <c r="Q18" t="s">
        <v>353</v>
      </c>
    </row>
    <row r="19" spans="1:17" x14ac:dyDescent="0.3">
      <c r="A19">
        <v>5952</v>
      </c>
      <c r="B19" t="s">
        <v>16</v>
      </c>
      <c r="C19" t="s">
        <v>60</v>
      </c>
      <c r="D19" t="s">
        <v>62</v>
      </c>
      <c r="E19" t="s">
        <v>19</v>
      </c>
      <c r="F19" t="s">
        <v>20</v>
      </c>
      <c r="G19" s="4">
        <v>82.486799999999988</v>
      </c>
      <c r="H19">
        <v>3600</v>
      </c>
      <c r="I19" t="s">
        <v>58</v>
      </c>
      <c r="J19" t="str">
        <f t="shared" si="0"/>
        <v>G</v>
      </c>
      <c r="K19" t="s">
        <v>59</v>
      </c>
      <c r="L19" t="s">
        <v>20</v>
      </c>
      <c r="M19" s="4">
        <f>G19*1.01</f>
        <v>83.311667999999983</v>
      </c>
      <c r="N19">
        <v>2055</v>
      </c>
      <c r="O19" t="s">
        <v>352</v>
      </c>
      <c r="P19" t="s">
        <v>352</v>
      </c>
      <c r="Q19" t="s">
        <v>353</v>
      </c>
    </row>
    <row r="20" spans="1:17" x14ac:dyDescent="0.3">
      <c r="A20">
        <v>5955</v>
      </c>
      <c r="B20" t="s">
        <v>16</v>
      </c>
      <c r="C20" t="s">
        <v>63</v>
      </c>
      <c r="D20" t="s">
        <v>64</v>
      </c>
      <c r="E20" t="s">
        <v>19</v>
      </c>
      <c r="F20" t="s">
        <v>20</v>
      </c>
      <c r="G20" s="4">
        <v>99</v>
      </c>
      <c r="H20">
        <v>3535</v>
      </c>
      <c r="I20" t="s">
        <v>65</v>
      </c>
      <c r="J20" t="str">
        <f t="shared" si="0"/>
        <v>G</v>
      </c>
      <c r="K20" t="s">
        <v>66</v>
      </c>
      <c r="L20" t="s">
        <v>20</v>
      </c>
      <c r="M20" s="4">
        <f>G20*1.01</f>
        <v>99.99</v>
      </c>
      <c r="N20">
        <v>2055</v>
      </c>
      <c r="O20" t="s">
        <v>352</v>
      </c>
      <c r="P20" t="s">
        <v>352</v>
      </c>
      <c r="Q20" t="s">
        <v>353</v>
      </c>
    </row>
    <row r="21" spans="1:17" x14ac:dyDescent="0.3">
      <c r="A21">
        <v>5965</v>
      </c>
      <c r="B21" t="s">
        <v>16</v>
      </c>
      <c r="C21" t="s">
        <v>67</v>
      </c>
      <c r="D21" t="s">
        <v>68</v>
      </c>
      <c r="E21" t="s">
        <v>19</v>
      </c>
      <c r="F21" t="s">
        <v>20</v>
      </c>
      <c r="G21" s="4">
        <v>100</v>
      </c>
      <c r="H21">
        <v>3535</v>
      </c>
      <c r="I21" t="s">
        <v>69</v>
      </c>
      <c r="J21" t="str">
        <f t="shared" si="0"/>
        <v>G</v>
      </c>
      <c r="K21" t="s">
        <v>70</v>
      </c>
      <c r="L21" t="s">
        <v>20</v>
      </c>
      <c r="M21" s="4">
        <f>G21*1.01</f>
        <v>101</v>
      </c>
      <c r="N21">
        <v>2055</v>
      </c>
      <c r="O21" t="s">
        <v>352</v>
      </c>
      <c r="P21" t="s">
        <v>352</v>
      </c>
      <c r="Q21" t="s">
        <v>353</v>
      </c>
    </row>
    <row r="22" spans="1:17" x14ac:dyDescent="0.3">
      <c r="A22">
        <v>5968</v>
      </c>
      <c r="B22" t="s">
        <v>16</v>
      </c>
      <c r="C22" t="s">
        <v>71</v>
      </c>
      <c r="D22" t="s">
        <v>72</v>
      </c>
      <c r="E22" t="s">
        <v>19</v>
      </c>
      <c r="F22" t="s">
        <v>20</v>
      </c>
      <c r="G22" s="4">
        <v>70.12</v>
      </c>
      <c r="H22">
        <v>3535</v>
      </c>
      <c r="I22" t="s">
        <v>73</v>
      </c>
      <c r="J22" t="str">
        <f t="shared" si="0"/>
        <v>G</v>
      </c>
      <c r="K22" t="s">
        <v>74</v>
      </c>
      <c r="L22" t="s">
        <v>20</v>
      </c>
      <c r="M22" s="4">
        <f>G22*1.01</f>
        <v>70.821200000000005</v>
      </c>
      <c r="N22">
        <v>2055</v>
      </c>
      <c r="O22" t="s">
        <v>352</v>
      </c>
      <c r="P22" t="s">
        <v>352</v>
      </c>
      <c r="Q22" t="s">
        <v>353</v>
      </c>
    </row>
    <row r="23" spans="1:17" x14ac:dyDescent="0.3">
      <c r="A23">
        <v>5971</v>
      </c>
      <c r="B23" t="s">
        <v>16</v>
      </c>
      <c r="C23" t="s">
        <v>71</v>
      </c>
      <c r="D23" t="s">
        <v>75</v>
      </c>
      <c r="E23" t="s">
        <v>19</v>
      </c>
      <c r="F23" t="s">
        <v>20</v>
      </c>
      <c r="G23" s="4">
        <v>70.12</v>
      </c>
      <c r="H23">
        <v>3600</v>
      </c>
      <c r="I23" t="s">
        <v>73</v>
      </c>
      <c r="J23" t="str">
        <f t="shared" ref="J23:J44" si="1">LEFT(I23,1)</f>
        <v>G</v>
      </c>
      <c r="K23" t="s">
        <v>74</v>
      </c>
      <c r="L23" t="s">
        <v>20</v>
      </c>
      <c r="M23" s="4">
        <f>G23*1.01</f>
        <v>70.821200000000005</v>
      </c>
      <c r="N23">
        <v>2055</v>
      </c>
      <c r="O23" t="s">
        <v>352</v>
      </c>
      <c r="P23" t="s">
        <v>352</v>
      </c>
      <c r="Q23" t="s">
        <v>353</v>
      </c>
    </row>
    <row r="24" spans="1:17" x14ac:dyDescent="0.3">
      <c r="A24">
        <v>5974</v>
      </c>
      <c r="B24" t="s">
        <v>16</v>
      </c>
      <c r="C24" t="s">
        <v>76</v>
      </c>
      <c r="D24" t="s">
        <v>77</v>
      </c>
      <c r="E24" t="s">
        <v>19</v>
      </c>
      <c r="F24" t="s">
        <v>20</v>
      </c>
      <c r="G24" s="4">
        <v>70.08</v>
      </c>
      <c r="H24">
        <v>3535</v>
      </c>
      <c r="I24" t="s">
        <v>78</v>
      </c>
      <c r="J24" t="str">
        <f t="shared" si="1"/>
        <v>G</v>
      </c>
      <c r="K24" t="s">
        <v>79</v>
      </c>
      <c r="L24" t="s">
        <v>20</v>
      </c>
      <c r="M24" s="4">
        <f>G24*1.01</f>
        <v>70.780799999999999</v>
      </c>
      <c r="N24">
        <v>2055</v>
      </c>
      <c r="O24" t="s">
        <v>352</v>
      </c>
      <c r="P24" t="s">
        <v>352</v>
      </c>
      <c r="Q24" t="s">
        <v>353</v>
      </c>
    </row>
    <row r="25" spans="1:17" x14ac:dyDescent="0.3">
      <c r="A25">
        <v>5978</v>
      </c>
      <c r="B25" t="s">
        <v>16</v>
      </c>
      <c r="C25" t="s">
        <v>80</v>
      </c>
      <c r="D25" t="s">
        <v>77</v>
      </c>
      <c r="E25" t="s">
        <v>19</v>
      </c>
      <c r="F25" t="s">
        <v>20</v>
      </c>
      <c r="G25" s="4">
        <v>70.08</v>
      </c>
      <c r="H25">
        <v>3600</v>
      </c>
      <c r="I25" t="s">
        <v>78</v>
      </c>
      <c r="J25" t="str">
        <f t="shared" si="1"/>
        <v>G</v>
      </c>
      <c r="K25" t="s">
        <v>79</v>
      </c>
      <c r="L25" t="s">
        <v>20</v>
      </c>
      <c r="M25" s="4">
        <f>G25*1.01</f>
        <v>70.780799999999999</v>
      </c>
      <c r="N25">
        <v>2055</v>
      </c>
      <c r="O25" t="s">
        <v>352</v>
      </c>
      <c r="P25" t="s">
        <v>352</v>
      </c>
      <c r="Q25" t="s">
        <v>353</v>
      </c>
    </row>
    <row r="26" spans="1:17" x14ac:dyDescent="0.3">
      <c r="A26">
        <v>5982</v>
      </c>
      <c r="B26" t="s">
        <v>16</v>
      </c>
      <c r="C26" t="s">
        <v>81</v>
      </c>
      <c r="D26" t="s">
        <v>82</v>
      </c>
      <c r="E26" t="s">
        <v>19</v>
      </c>
      <c r="F26" t="s">
        <v>20</v>
      </c>
      <c r="G26" s="4">
        <v>82.486799999999988</v>
      </c>
      <c r="H26">
        <v>3535</v>
      </c>
      <c r="I26" t="s">
        <v>83</v>
      </c>
      <c r="J26" t="str">
        <f t="shared" si="1"/>
        <v>G</v>
      </c>
      <c r="K26" t="s">
        <v>84</v>
      </c>
      <c r="L26" t="s">
        <v>20</v>
      </c>
      <c r="M26" s="4">
        <f>G26*1.01</f>
        <v>83.311667999999983</v>
      </c>
      <c r="N26">
        <v>2055</v>
      </c>
      <c r="O26" t="s">
        <v>352</v>
      </c>
      <c r="P26" t="s">
        <v>352</v>
      </c>
      <c r="Q26" t="s">
        <v>353</v>
      </c>
    </row>
    <row r="27" spans="1:17" x14ac:dyDescent="0.3">
      <c r="A27">
        <v>5984</v>
      </c>
      <c r="B27" t="s">
        <v>16</v>
      </c>
      <c r="C27" t="s">
        <v>81</v>
      </c>
      <c r="D27" t="s">
        <v>85</v>
      </c>
      <c r="E27" t="s">
        <v>19</v>
      </c>
      <c r="F27" t="s">
        <v>20</v>
      </c>
      <c r="G27" s="4">
        <v>82.486799999999988</v>
      </c>
      <c r="H27">
        <v>3600</v>
      </c>
      <c r="I27" t="s">
        <v>83</v>
      </c>
      <c r="J27" t="str">
        <f t="shared" si="1"/>
        <v>G</v>
      </c>
      <c r="K27" t="s">
        <v>84</v>
      </c>
      <c r="L27" t="s">
        <v>20</v>
      </c>
      <c r="M27" s="4">
        <f>G27*1.01</f>
        <v>83.311667999999983</v>
      </c>
      <c r="N27">
        <v>2055</v>
      </c>
      <c r="O27" t="s">
        <v>352</v>
      </c>
      <c r="P27" t="s">
        <v>352</v>
      </c>
      <c r="Q27" t="s">
        <v>353</v>
      </c>
    </row>
    <row r="28" spans="1:17" x14ac:dyDescent="0.3">
      <c r="A28">
        <v>5986</v>
      </c>
      <c r="B28" t="s">
        <v>16</v>
      </c>
      <c r="C28" t="s">
        <v>86</v>
      </c>
      <c r="D28" t="s">
        <v>87</v>
      </c>
      <c r="E28" t="s">
        <v>19</v>
      </c>
      <c r="F28" t="s">
        <v>20</v>
      </c>
      <c r="G28" s="4">
        <v>85.100399999999993</v>
      </c>
      <c r="H28">
        <v>3535</v>
      </c>
      <c r="I28" t="s">
        <v>33</v>
      </c>
      <c r="J28" t="str">
        <f t="shared" si="1"/>
        <v>G</v>
      </c>
      <c r="K28" t="s">
        <v>34</v>
      </c>
      <c r="L28" t="s">
        <v>20</v>
      </c>
      <c r="M28" s="4">
        <f>G28*1.01</f>
        <v>85.951403999999997</v>
      </c>
      <c r="N28">
        <v>2055</v>
      </c>
      <c r="O28" t="s">
        <v>352</v>
      </c>
      <c r="P28" t="s">
        <v>352</v>
      </c>
      <c r="Q28" t="s">
        <v>353</v>
      </c>
    </row>
    <row r="29" spans="1:17" x14ac:dyDescent="0.3">
      <c r="A29">
        <v>5992</v>
      </c>
      <c r="B29" t="s">
        <v>16</v>
      </c>
      <c r="C29" t="s">
        <v>88</v>
      </c>
      <c r="D29" t="s">
        <v>89</v>
      </c>
      <c r="E29" t="s">
        <v>19</v>
      </c>
      <c r="F29" t="s">
        <v>20</v>
      </c>
      <c r="G29" s="4">
        <v>85.100399999999993</v>
      </c>
      <c r="H29">
        <v>3535</v>
      </c>
      <c r="I29" t="s">
        <v>33</v>
      </c>
      <c r="J29" t="str">
        <f t="shared" si="1"/>
        <v>G</v>
      </c>
      <c r="K29" t="s">
        <v>34</v>
      </c>
      <c r="L29" t="s">
        <v>20</v>
      </c>
      <c r="M29" s="4">
        <f>G29*1.01</f>
        <v>85.951403999999997</v>
      </c>
      <c r="N29">
        <v>2055</v>
      </c>
      <c r="O29" t="s">
        <v>352</v>
      </c>
      <c r="P29" t="s">
        <v>352</v>
      </c>
      <c r="Q29" t="s">
        <v>353</v>
      </c>
    </row>
    <row r="30" spans="1:17" x14ac:dyDescent="0.3">
      <c r="A30">
        <v>5998</v>
      </c>
      <c r="B30" t="s">
        <v>16</v>
      </c>
      <c r="C30" t="s">
        <v>90</v>
      </c>
      <c r="D30" t="s">
        <v>91</v>
      </c>
      <c r="E30" t="s">
        <v>19</v>
      </c>
      <c r="F30" t="s">
        <v>20</v>
      </c>
      <c r="G30" s="4">
        <v>85.100399999999993</v>
      </c>
      <c r="H30">
        <v>3535</v>
      </c>
      <c r="I30" t="s">
        <v>92</v>
      </c>
      <c r="J30" t="str">
        <f t="shared" si="1"/>
        <v>G</v>
      </c>
      <c r="K30" t="s">
        <v>93</v>
      </c>
      <c r="L30" t="s">
        <v>20</v>
      </c>
      <c r="M30" s="4">
        <f>G30*1.01</f>
        <v>85.951403999999997</v>
      </c>
      <c r="N30">
        <v>2055</v>
      </c>
      <c r="O30" t="s">
        <v>352</v>
      </c>
      <c r="P30" t="s">
        <v>352</v>
      </c>
      <c r="Q30" t="s">
        <v>353</v>
      </c>
    </row>
    <row r="31" spans="1:17" x14ac:dyDescent="0.3">
      <c r="A31">
        <v>6004</v>
      </c>
      <c r="B31" t="s">
        <v>16</v>
      </c>
      <c r="C31" t="s">
        <v>94</v>
      </c>
      <c r="D31" t="s">
        <v>95</v>
      </c>
      <c r="E31" t="s">
        <v>19</v>
      </c>
      <c r="F31" t="s">
        <v>20</v>
      </c>
      <c r="G31" s="4">
        <v>84.87</v>
      </c>
      <c r="H31">
        <v>3535</v>
      </c>
      <c r="I31" t="s">
        <v>96</v>
      </c>
      <c r="J31" t="str">
        <f t="shared" si="1"/>
        <v>G</v>
      </c>
      <c r="K31" t="s">
        <v>97</v>
      </c>
      <c r="L31" t="s">
        <v>20</v>
      </c>
      <c r="M31" s="4">
        <f>G31*1.01</f>
        <v>85.718699999999998</v>
      </c>
      <c r="N31">
        <v>2055</v>
      </c>
      <c r="O31" t="s">
        <v>352</v>
      </c>
      <c r="P31" t="s">
        <v>352</v>
      </c>
      <c r="Q31" t="s">
        <v>353</v>
      </c>
    </row>
    <row r="32" spans="1:17" x14ac:dyDescent="0.3">
      <c r="A32">
        <v>6007</v>
      </c>
      <c r="B32" t="s">
        <v>16</v>
      </c>
      <c r="C32" t="s">
        <v>94</v>
      </c>
      <c r="D32" t="s">
        <v>98</v>
      </c>
      <c r="E32" t="s">
        <v>19</v>
      </c>
      <c r="F32" t="s">
        <v>20</v>
      </c>
      <c r="G32" s="4">
        <v>84.87</v>
      </c>
      <c r="H32">
        <v>3600</v>
      </c>
      <c r="I32" t="s">
        <v>96</v>
      </c>
      <c r="J32" t="str">
        <f t="shared" si="1"/>
        <v>G</v>
      </c>
      <c r="K32" t="s">
        <v>97</v>
      </c>
      <c r="L32" t="s">
        <v>20</v>
      </c>
      <c r="M32" s="4">
        <f>G32*1.01</f>
        <v>85.718699999999998</v>
      </c>
      <c r="N32">
        <v>2055</v>
      </c>
      <c r="O32" t="s">
        <v>352</v>
      </c>
      <c r="P32" t="s">
        <v>352</v>
      </c>
      <c r="Q32" t="s">
        <v>353</v>
      </c>
    </row>
    <row r="33" spans="1:17" x14ac:dyDescent="0.3">
      <c r="A33">
        <v>6010</v>
      </c>
      <c r="B33" t="s">
        <v>16</v>
      </c>
      <c r="C33" t="s">
        <v>99</v>
      </c>
      <c r="D33" t="s">
        <v>100</v>
      </c>
      <c r="E33" t="s">
        <v>19</v>
      </c>
      <c r="F33" t="s">
        <v>20</v>
      </c>
      <c r="G33" s="4">
        <v>82.486799999999988</v>
      </c>
      <c r="H33">
        <v>3535</v>
      </c>
      <c r="I33" t="s">
        <v>21</v>
      </c>
      <c r="J33" t="str">
        <f t="shared" si="1"/>
        <v>G</v>
      </c>
      <c r="K33" t="s">
        <v>22</v>
      </c>
      <c r="L33" t="s">
        <v>20</v>
      </c>
      <c r="M33" s="4">
        <f>G33*1.01</f>
        <v>83.311667999999983</v>
      </c>
      <c r="N33">
        <v>2055</v>
      </c>
      <c r="O33" t="s">
        <v>352</v>
      </c>
      <c r="P33" t="s">
        <v>352</v>
      </c>
      <c r="Q33" t="s">
        <v>353</v>
      </c>
    </row>
    <row r="34" spans="1:17" x14ac:dyDescent="0.3">
      <c r="A34">
        <v>6016</v>
      </c>
      <c r="B34" t="s">
        <v>16</v>
      </c>
      <c r="C34" t="s">
        <v>101</v>
      </c>
      <c r="D34" t="s">
        <v>102</v>
      </c>
      <c r="E34" t="s">
        <v>19</v>
      </c>
      <c r="F34" t="s">
        <v>20</v>
      </c>
      <c r="G34" s="4">
        <v>77.3</v>
      </c>
      <c r="H34">
        <v>3535</v>
      </c>
      <c r="I34" t="s">
        <v>103</v>
      </c>
      <c r="J34" t="str">
        <f t="shared" si="1"/>
        <v>G</v>
      </c>
      <c r="K34" t="s">
        <v>104</v>
      </c>
      <c r="L34" t="s">
        <v>20</v>
      </c>
      <c r="M34" s="4">
        <f>G34*1.01</f>
        <v>78.072999999999993</v>
      </c>
      <c r="N34">
        <v>2055</v>
      </c>
      <c r="O34" t="s">
        <v>352</v>
      </c>
      <c r="P34" t="s">
        <v>352</v>
      </c>
      <c r="Q34" t="s">
        <v>353</v>
      </c>
    </row>
    <row r="35" spans="1:17" x14ac:dyDescent="0.3">
      <c r="A35">
        <v>6019</v>
      </c>
      <c r="B35" t="s">
        <v>16</v>
      </c>
      <c r="C35" t="s">
        <v>101</v>
      </c>
      <c r="D35" t="s">
        <v>105</v>
      </c>
      <c r="E35" t="s">
        <v>19</v>
      </c>
      <c r="F35" t="s">
        <v>20</v>
      </c>
      <c r="G35" s="4">
        <v>77.7</v>
      </c>
      <c r="H35">
        <v>3600</v>
      </c>
      <c r="I35" t="s">
        <v>103</v>
      </c>
      <c r="J35" t="str">
        <f t="shared" si="1"/>
        <v>G</v>
      </c>
      <c r="K35" t="s">
        <v>104</v>
      </c>
      <c r="L35" t="s">
        <v>20</v>
      </c>
      <c r="M35" s="4">
        <f>G35*1.01</f>
        <v>78.477000000000004</v>
      </c>
      <c r="N35">
        <v>2055</v>
      </c>
      <c r="O35" t="s">
        <v>352</v>
      </c>
      <c r="P35" t="s">
        <v>352</v>
      </c>
      <c r="Q35" t="s">
        <v>353</v>
      </c>
    </row>
    <row r="36" spans="1:17" x14ac:dyDescent="0.3">
      <c r="A36">
        <v>6028</v>
      </c>
      <c r="B36" t="s">
        <v>16</v>
      </c>
      <c r="C36" t="s">
        <v>106</v>
      </c>
      <c r="D36" t="s">
        <v>107</v>
      </c>
      <c r="E36" t="s">
        <v>19</v>
      </c>
      <c r="F36" t="s">
        <v>20</v>
      </c>
      <c r="G36" s="4">
        <v>84.87</v>
      </c>
      <c r="H36">
        <v>3535</v>
      </c>
      <c r="I36" t="s">
        <v>96</v>
      </c>
      <c r="J36" t="str">
        <f t="shared" si="1"/>
        <v>G</v>
      </c>
      <c r="K36" t="s">
        <v>97</v>
      </c>
      <c r="L36" t="s">
        <v>20</v>
      </c>
      <c r="M36" s="4">
        <f>G36*1.01</f>
        <v>85.718699999999998</v>
      </c>
      <c r="N36">
        <v>2055</v>
      </c>
      <c r="O36" t="s">
        <v>352</v>
      </c>
      <c r="P36" t="s">
        <v>352</v>
      </c>
      <c r="Q36" t="s">
        <v>353</v>
      </c>
    </row>
    <row r="37" spans="1:17" x14ac:dyDescent="0.3">
      <c r="A37">
        <v>6031</v>
      </c>
      <c r="B37" t="s">
        <v>16</v>
      </c>
      <c r="C37" t="s">
        <v>106</v>
      </c>
      <c r="D37" t="s">
        <v>108</v>
      </c>
      <c r="E37" t="s">
        <v>19</v>
      </c>
      <c r="F37" t="s">
        <v>20</v>
      </c>
      <c r="G37" s="4">
        <v>84.87</v>
      </c>
      <c r="H37">
        <v>3600</v>
      </c>
      <c r="I37" t="s">
        <v>96</v>
      </c>
      <c r="J37" t="str">
        <f t="shared" si="1"/>
        <v>G</v>
      </c>
      <c r="K37" t="s">
        <v>97</v>
      </c>
      <c r="L37" t="s">
        <v>20</v>
      </c>
      <c r="M37" s="4">
        <f>G37*1.01</f>
        <v>85.718699999999998</v>
      </c>
      <c r="N37">
        <v>2055</v>
      </c>
      <c r="O37" t="s">
        <v>352</v>
      </c>
      <c r="P37" t="s">
        <v>352</v>
      </c>
      <c r="Q37" t="s">
        <v>353</v>
      </c>
    </row>
    <row r="38" spans="1:17" x14ac:dyDescent="0.3">
      <c r="A38">
        <v>6040</v>
      </c>
      <c r="B38" t="s">
        <v>16</v>
      </c>
      <c r="C38" t="s">
        <v>109</v>
      </c>
      <c r="D38" t="s">
        <v>110</v>
      </c>
      <c r="E38" t="s">
        <v>19</v>
      </c>
      <c r="F38" t="s">
        <v>20</v>
      </c>
      <c r="G38" s="4">
        <v>80.58</v>
      </c>
      <c r="H38">
        <v>3535</v>
      </c>
      <c r="I38" t="s">
        <v>111</v>
      </c>
      <c r="J38" t="str">
        <f t="shared" si="1"/>
        <v>G</v>
      </c>
      <c r="K38" t="s">
        <v>112</v>
      </c>
      <c r="L38" t="s">
        <v>20</v>
      </c>
      <c r="M38" s="4">
        <f>G38*1.01</f>
        <v>81.385800000000003</v>
      </c>
      <c r="N38">
        <v>2055</v>
      </c>
      <c r="O38" t="s">
        <v>352</v>
      </c>
      <c r="P38" t="s">
        <v>352</v>
      </c>
      <c r="Q38" t="s">
        <v>353</v>
      </c>
    </row>
    <row r="39" spans="1:17" x14ac:dyDescent="0.3">
      <c r="A39">
        <v>6042</v>
      </c>
      <c r="B39" t="s">
        <v>16</v>
      </c>
      <c r="C39" t="s">
        <v>109</v>
      </c>
      <c r="D39" t="s">
        <v>113</v>
      </c>
      <c r="E39" t="s">
        <v>19</v>
      </c>
      <c r="F39" t="s">
        <v>20</v>
      </c>
      <c r="G39" s="4">
        <v>80.58</v>
      </c>
      <c r="H39">
        <v>3600</v>
      </c>
      <c r="I39" t="s">
        <v>111</v>
      </c>
      <c r="J39" t="str">
        <f t="shared" si="1"/>
        <v>G</v>
      </c>
      <c r="K39" t="s">
        <v>112</v>
      </c>
      <c r="L39" t="s">
        <v>20</v>
      </c>
      <c r="M39" s="4">
        <f>G39*1.01</f>
        <v>81.385800000000003</v>
      </c>
      <c r="N39">
        <v>2055</v>
      </c>
      <c r="O39" t="s">
        <v>352</v>
      </c>
      <c r="P39" t="s">
        <v>352</v>
      </c>
      <c r="Q39" t="s">
        <v>353</v>
      </c>
    </row>
    <row r="40" spans="1:17" x14ac:dyDescent="0.3">
      <c r="A40">
        <v>6044</v>
      </c>
      <c r="B40" t="s">
        <v>16</v>
      </c>
      <c r="C40" t="s">
        <v>114</v>
      </c>
      <c r="D40" t="s">
        <v>115</v>
      </c>
      <c r="E40" t="s">
        <v>19</v>
      </c>
      <c r="F40" t="s">
        <v>20</v>
      </c>
      <c r="G40" s="4">
        <v>106.02</v>
      </c>
      <c r="H40">
        <v>3535</v>
      </c>
      <c r="I40" t="s">
        <v>116</v>
      </c>
      <c r="J40" t="str">
        <f t="shared" si="1"/>
        <v>G</v>
      </c>
      <c r="K40" t="s">
        <v>117</v>
      </c>
      <c r="L40" t="s">
        <v>20</v>
      </c>
      <c r="M40" s="4">
        <f>G40*1.01</f>
        <v>107.08019999999999</v>
      </c>
      <c r="N40">
        <v>2055</v>
      </c>
      <c r="O40" t="s">
        <v>352</v>
      </c>
      <c r="P40" t="s">
        <v>352</v>
      </c>
      <c r="Q40" t="s">
        <v>353</v>
      </c>
    </row>
    <row r="41" spans="1:17" x14ac:dyDescent="0.3">
      <c r="A41">
        <v>6048</v>
      </c>
      <c r="B41" t="s">
        <v>16</v>
      </c>
      <c r="C41" t="s">
        <v>114</v>
      </c>
      <c r="D41" t="s">
        <v>118</v>
      </c>
      <c r="E41" t="s">
        <v>19</v>
      </c>
      <c r="F41" t="s">
        <v>20</v>
      </c>
      <c r="G41" s="4">
        <v>106.02</v>
      </c>
      <c r="H41">
        <v>3600</v>
      </c>
      <c r="I41" t="s">
        <v>116</v>
      </c>
      <c r="J41" t="str">
        <f t="shared" si="1"/>
        <v>G</v>
      </c>
      <c r="K41" t="s">
        <v>117</v>
      </c>
      <c r="L41" t="s">
        <v>20</v>
      </c>
      <c r="M41" s="4">
        <f>G41*1.01</f>
        <v>107.08019999999999</v>
      </c>
      <c r="N41">
        <v>2055</v>
      </c>
      <c r="O41" t="s">
        <v>352</v>
      </c>
      <c r="P41" t="s">
        <v>352</v>
      </c>
      <c r="Q41" t="s">
        <v>353</v>
      </c>
    </row>
    <row r="42" spans="1:17" x14ac:dyDescent="0.3">
      <c r="A42">
        <v>6052</v>
      </c>
      <c r="B42" t="s">
        <v>16</v>
      </c>
      <c r="C42" t="s">
        <v>119</v>
      </c>
      <c r="D42" t="s">
        <v>120</v>
      </c>
      <c r="E42" t="s">
        <v>19</v>
      </c>
      <c r="F42" t="s">
        <v>20</v>
      </c>
      <c r="G42" s="4">
        <v>84.87</v>
      </c>
      <c r="H42">
        <v>3535</v>
      </c>
      <c r="I42" t="s">
        <v>121</v>
      </c>
      <c r="J42" t="str">
        <f t="shared" si="1"/>
        <v>G</v>
      </c>
      <c r="K42" t="s">
        <v>122</v>
      </c>
      <c r="L42" t="s">
        <v>20</v>
      </c>
      <c r="M42" s="4">
        <f>G42*1.01</f>
        <v>85.718699999999998</v>
      </c>
      <c r="N42">
        <v>2055</v>
      </c>
      <c r="O42" t="s">
        <v>352</v>
      </c>
      <c r="P42" t="s">
        <v>352</v>
      </c>
      <c r="Q42" t="s">
        <v>353</v>
      </c>
    </row>
    <row r="43" spans="1:17" x14ac:dyDescent="0.3">
      <c r="A43">
        <v>6069</v>
      </c>
      <c r="B43" t="s">
        <v>16</v>
      </c>
      <c r="C43" t="s">
        <v>123</v>
      </c>
      <c r="D43" t="s">
        <v>124</v>
      </c>
      <c r="E43" t="s">
        <v>19</v>
      </c>
      <c r="F43" t="s">
        <v>20</v>
      </c>
      <c r="G43" s="4">
        <v>82.28</v>
      </c>
      <c r="H43">
        <v>3600</v>
      </c>
      <c r="I43" t="s">
        <v>125</v>
      </c>
      <c r="J43" t="str">
        <f t="shared" si="1"/>
        <v>G</v>
      </c>
      <c r="K43" t="s">
        <v>126</v>
      </c>
      <c r="L43" t="s">
        <v>20</v>
      </c>
      <c r="M43" s="4">
        <f>G43*1.01</f>
        <v>83.102800000000002</v>
      </c>
      <c r="N43">
        <v>2055</v>
      </c>
      <c r="O43" t="s">
        <v>352</v>
      </c>
      <c r="P43" t="s">
        <v>352</v>
      </c>
      <c r="Q43" t="s">
        <v>353</v>
      </c>
    </row>
    <row r="44" spans="1:17" x14ac:dyDescent="0.3">
      <c r="A44">
        <v>6072</v>
      </c>
      <c r="B44" t="s">
        <v>16</v>
      </c>
      <c r="C44" t="s">
        <v>127</v>
      </c>
      <c r="D44" t="s">
        <v>128</v>
      </c>
      <c r="E44" t="s">
        <v>19</v>
      </c>
      <c r="F44" t="s">
        <v>20</v>
      </c>
      <c r="G44" s="4">
        <v>100</v>
      </c>
      <c r="H44">
        <v>3535</v>
      </c>
      <c r="I44" t="s">
        <v>129</v>
      </c>
      <c r="J44" t="str">
        <f t="shared" si="1"/>
        <v>G</v>
      </c>
      <c r="K44" t="s">
        <v>130</v>
      </c>
      <c r="L44" t="s">
        <v>20</v>
      </c>
      <c r="M44" s="4">
        <f>G44*1.01</f>
        <v>101</v>
      </c>
      <c r="N44">
        <v>2055</v>
      </c>
      <c r="O44" t="s">
        <v>352</v>
      </c>
      <c r="P44" t="s">
        <v>352</v>
      </c>
      <c r="Q44" t="s">
        <v>353</v>
      </c>
    </row>
    <row r="45" spans="1:17" x14ac:dyDescent="0.3">
      <c r="A45">
        <v>6077</v>
      </c>
      <c r="B45" t="s">
        <v>16</v>
      </c>
      <c r="C45" t="s">
        <v>131</v>
      </c>
      <c r="D45" t="s">
        <v>132</v>
      </c>
      <c r="E45" t="s">
        <v>19</v>
      </c>
      <c r="F45" t="s">
        <v>20</v>
      </c>
      <c r="G45" s="4">
        <v>100</v>
      </c>
      <c r="H45">
        <v>3535</v>
      </c>
      <c r="I45" t="s">
        <v>133</v>
      </c>
      <c r="J45" t="str">
        <f t="shared" ref="J45:J66" si="2">LEFT(I45,1)</f>
        <v>G</v>
      </c>
      <c r="K45" t="s">
        <v>134</v>
      </c>
      <c r="L45" t="s">
        <v>20</v>
      </c>
      <c r="M45" s="4">
        <f>G45*1.01</f>
        <v>101</v>
      </c>
      <c r="N45">
        <v>2055</v>
      </c>
      <c r="O45" t="s">
        <v>352</v>
      </c>
      <c r="P45" t="s">
        <v>352</v>
      </c>
      <c r="Q45" t="s">
        <v>353</v>
      </c>
    </row>
    <row r="46" spans="1:17" x14ac:dyDescent="0.3">
      <c r="A46">
        <v>6080</v>
      </c>
      <c r="B46" t="s">
        <v>16</v>
      </c>
      <c r="C46" t="s">
        <v>135</v>
      </c>
      <c r="D46" t="s">
        <v>136</v>
      </c>
      <c r="E46" t="s">
        <v>19</v>
      </c>
      <c r="F46" t="s">
        <v>20</v>
      </c>
      <c r="G46" s="4">
        <v>82.28</v>
      </c>
      <c r="H46">
        <v>3535</v>
      </c>
      <c r="I46" t="s">
        <v>125</v>
      </c>
      <c r="J46" t="str">
        <f t="shared" si="2"/>
        <v>G</v>
      </c>
      <c r="K46" t="s">
        <v>126</v>
      </c>
      <c r="L46" t="s">
        <v>20</v>
      </c>
      <c r="M46" s="4">
        <f>G46*1.01</f>
        <v>83.102800000000002</v>
      </c>
      <c r="N46">
        <v>2055</v>
      </c>
      <c r="O46" t="s">
        <v>352</v>
      </c>
      <c r="P46" t="s">
        <v>352</v>
      </c>
      <c r="Q46" t="s">
        <v>353</v>
      </c>
    </row>
    <row r="47" spans="1:17" x14ac:dyDescent="0.3">
      <c r="A47">
        <v>6088</v>
      </c>
      <c r="B47" t="s">
        <v>16</v>
      </c>
      <c r="C47" t="s">
        <v>137</v>
      </c>
      <c r="D47" t="s">
        <v>138</v>
      </c>
      <c r="E47" t="s">
        <v>19</v>
      </c>
      <c r="F47" t="s">
        <v>20</v>
      </c>
      <c r="G47" s="4">
        <v>81</v>
      </c>
      <c r="H47">
        <v>3600</v>
      </c>
      <c r="I47" t="s">
        <v>48</v>
      </c>
      <c r="J47" t="str">
        <f t="shared" si="2"/>
        <v>G</v>
      </c>
      <c r="K47" t="s">
        <v>49</v>
      </c>
      <c r="L47" t="s">
        <v>20</v>
      </c>
      <c r="M47" s="4">
        <f>G47*1.01</f>
        <v>81.81</v>
      </c>
      <c r="N47">
        <v>2055</v>
      </c>
      <c r="O47" t="s">
        <v>352</v>
      </c>
      <c r="P47" t="s">
        <v>352</v>
      </c>
      <c r="Q47" t="s">
        <v>353</v>
      </c>
    </row>
    <row r="48" spans="1:17" x14ac:dyDescent="0.3">
      <c r="A48">
        <v>6093</v>
      </c>
      <c r="B48" t="s">
        <v>16</v>
      </c>
      <c r="C48" t="s">
        <v>139</v>
      </c>
      <c r="D48" t="s">
        <v>140</v>
      </c>
      <c r="E48" t="s">
        <v>19</v>
      </c>
      <c r="F48" t="s">
        <v>20</v>
      </c>
      <c r="G48" s="4">
        <v>76.59</v>
      </c>
      <c r="H48">
        <v>3535</v>
      </c>
      <c r="I48" t="s">
        <v>141</v>
      </c>
      <c r="J48" t="str">
        <f t="shared" si="2"/>
        <v>G</v>
      </c>
      <c r="K48" t="s">
        <v>142</v>
      </c>
      <c r="L48" t="s">
        <v>20</v>
      </c>
      <c r="M48" s="4">
        <f>G48*1.01</f>
        <v>77.355900000000005</v>
      </c>
      <c r="N48">
        <v>2055</v>
      </c>
      <c r="O48" t="s">
        <v>352</v>
      </c>
      <c r="P48" t="s">
        <v>352</v>
      </c>
      <c r="Q48" t="s">
        <v>353</v>
      </c>
    </row>
    <row r="49" spans="1:17" x14ac:dyDescent="0.3">
      <c r="A49">
        <v>6099</v>
      </c>
      <c r="B49" t="s">
        <v>16</v>
      </c>
      <c r="C49" t="s">
        <v>143</v>
      </c>
      <c r="D49" t="s">
        <v>144</v>
      </c>
      <c r="E49" t="s">
        <v>19</v>
      </c>
      <c r="F49" t="s">
        <v>20</v>
      </c>
      <c r="G49" s="4">
        <v>106.02</v>
      </c>
      <c r="H49">
        <v>3535</v>
      </c>
      <c r="I49" t="s">
        <v>145</v>
      </c>
      <c r="J49" t="str">
        <f t="shared" si="2"/>
        <v>G</v>
      </c>
      <c r="K49" t="s">
        <v>146</v>
      </c>
      <c r="L49" t="s">
        <v>20</v>
      </c>
      <c r="M49" s="4">
        <f>G49*1.01</f>
        <v>107.08019999999999</v>
      </c>
      <c r="N49">
        <v>2055</v>
      </c>
      <c r="O49" t="s">
        <v>352</v>
      </c>
      <c r="P49" t="s">
        <v>352</v>
      </c>
      <c r="Q49" t="s">
        <v>353</v>
      </c>
    </row>
    <row r="50" spans="1:17" x14ac:dyDescent="0.3">
      <c r="A50">
        <v>6104</v>
      </c>
      <c r="B50" t="s">
        <v>16</v>
      </c>
      <c r="C50" t="s">
        <v>147</v>
      </c>
      <c r="D50" t="s">
        <v>148</v>
      </c>
      <c r="E50" t="s">
        <v>19</v>
      </c>
      <c r="F50" t="s">
        <v>20</v>
      </c>
      <c r="G50" s="4">
        <v>76.59</v>
      </c>
      <c r="H50">
        <v>3535</v>
      </c>
      <c r="I50" t="s">
        <v>149</v>
      </c>
      <c r="J50" t="str">
        <f t="shared" si="2"/>
        <v>G</v>
      </c>
      <c r="K50" t="s">
        <v>150</v>
      </c>
      <c r="L50" t="s">
        <v>20</v>
      </c>
      <c r="M50" s="4">
        <f>G50*1.01</f>
        <v>77.355900000000005</v>
      </c>
      <c r="N50">
        <v>2055</v>
      </c>
      <c r="O50" t="s">
        <v>352</v>
      </c>
      <c r="P50" t="s">
        <v>352</v>
      </c>
      <c r="Q50" t="s">
        <v>353</v>
      </c>
    </row>
    <row r="51" spans="1:17" x14ac:dyDescent="0.3">
      <c r="A51">
        <v>6108</v>
      </c>
      <c r="B51" t="s">
        <v>16</v>
      </c>
      <c r="C51" t="s">
        <v>147</v>
      </c>
      <c r="D51" t="s">
        <v>151</v>
      </c>
      <c r="E51" t="s">
        <v>19</v>
      </c>
      <c r="F51" t="s">
        <v>20</v>
      </c>
      <c r="G51" s="4">
        <v>76.59</v>
      </c>
      <c r="H51">
        <v>3600</v>
      </c>
      <c r="I51" t="s">
        <v>149</v>
      </c>
      <c r="J51" t="str">
        <f t="shared" si="2"/>
        <v>G</v>
      </c>
      <c r="K51" t="s">
        <v>150</v>
      </c>
      <c r="L51" t="s">
        <v>20</v>
      </c>
      <c r="M51" s="4">
        <f>G51*1.01</f>
        <v>77.355900000000005</v>
      </c>
      <c r="N51">
        <v>2055</v>
      </c>
      <c r="O51" t="s">
        <v>352</v>
      </c>
      <c r="P51" t="s">
        <v>352</v>
      </c>
      <c r="Q51" t="s">
        <v>353</v>
      </c>
    </row>
    <row r="52" spans="1:17" x14ac:dyDescent="0.3">
      <c r="A52">
        <v>6118</v>
      </c>
      <c r="B52" t="s">
        <v>16</v>
      </c>
      <c r="C52" t="s">
        <v>152</v>
      </c>
      <c r="D52" t="s">
        <v>153</v>
      </c>
      <c r="E52" t="s">
        <v>19</v>
      </c>
      <c r="F52" t="s">
        <v>20</v>
      </c>
      <c r="G52" s="4">
        <v>83.43</v>
      </c>
      <c r="H52">
        <v>3600</v>
      </c>
      <c r="I52" t="s">
        <v>92</v>
      </c>
      <c r="J52" t="str">
        <f t="shared" si="2"/>
        <v>G</v>
      </c>
      <c r="K52" t="s">
        <v>93</v>
      </c>
      <c r="L52" t="s">
        <v>20</v>
      </c>
      <c r="M52" s="4">
        <f>G52*1.01</f>
        <v>84.264300000000006</v>
      </c>
      <c r="N52">
        <v>2055</v>
      </c>
      <c r="O52" t="s">
        <v>352</v>
      </c>
      <c r="P52" t="s">
        <v>352</v>
      </c>
      <c r="Q52" t="s">
        <v>353</v>
      </c>
    </row>
    <row r="53" spans="1:17" x14ac:dyDescent="0.3">
      <c r="A53">
        <v>6121</v>
      </c>
      <c r="B53" t="s">
        <v>16</v>
      </c>
      <c r="C53" t="s">
        <v>154</v>
      </c>
      <c r="D53" t="s">
        <v>155</v>
      </c>
      <c r="E53" t="s">
        <v>19</v>
      </c>
      <c r="F53" t="s">
        <v>20</v>
      </c>
      <c r="G53" s="4">
        <v>85.1</v>
      </c>
      <c r="H53">
        <v>3535</v>
      </c>
      <c r="I53" t="s">
        <v>58</v>
      </c>
      <c r="J53" t="str">
        <f t="shared" si="2"/>
        <v>G</v>
      </c>
      <c r="K53" t="s">
        <v>59</v>
      </c>
      <c r="L53" t="s">
        <v>20</v>
      </c>
      <c r="M53" s="4">
        <f>G53*1.01</f>
        <v>85.950999999999993</v>
      </c>
      <c r="N53">
        <v>2055</v>
      </c>
      <c r="O53" t="s">
        <v>352</v>
      </c>
      <c r="P53" t="s">
        <v>352</v>
      </c>
      <c r="Q53" t="s">
        <v>353</v>
      </c>
    </row>
    <row r="54" spans="1:17" x14ac:dyDescent="0.3">
      <c r="A54">
        <v>6123</v>
      </c>
      <c r="B54" t="s">
        <v>16</v>
      </c>
      <c r="C54" t="s">
        <v>154</v>
      </c>
      <c r="D54" t="s">
        <v>156</v>
      </c>
      <c r="E54" t="s">
        <v>19</v>
      </c>
      <c r="F54" t="s">
        <v>20</v>
      </c>
      <c r="G54" s="4">
        <v>85.1</v>
      </c>
      <c r="H54">
        <v>3600</v>
      </c>
      <c r="I54" t="s">
        <v>58</v>
      </c>
      <c r="J54" t="str">
        <f t="shared" si="2"/>
        <v>G</v>
      </c>
      <c r="K54" t="s">
        <v>59</v>
      </c>
      <c r="L54" t="s">
        <v>20</v>
      </c>
      <c r="M54" s="4">
        <f>G54*1.01</f>
        <v>85.950999999999993</v>
      </c>
      <c r="N54">
        <v>2055</v>
      </c>
      <c r="O54" t="s">
        <v>352</v>
      </c>
      <c r="P54" t="s">
        <v>352</v>
      </c>
      <c r="Q54" t="s">
        <v>353</v>
      </c>
    </row>
    <row r="55" spans="1:17" x14ac:dyDescent="0.3">
      <c r="A55">
        <v>6128</v>
      </c>
      <c r="B55" t="s">
        <v>16</v>
      </c>
      <c r="C55" t="s">
        <v>157</v>
      </c>
      <c r="D55" t="s">
        <v>158</v>
      </c>
      <c r="E55" t="s">
        <v>19</v>
      </c>
      <c r="F55" t="s">
        <v>20</v>
      </c>
      <c r="G55" s="4">
        <v>85.1</v>
      </c>
      <c r="H55">
        <v>3600</v>
      </c>
      <c r="I55" t="s">
        <v>58</v>
      </c>
      <c r="J55" t="str">
        <f t="shared" si="2"/>
        <v>G</v>
      </c>
      <c r="K55" t="s">
        <v>59</v>
      </c>
      <c r="L55" t="s">
        <v>20</v>
      </c>
      <c r="M55" s="4">
        <f>G55*1.01</f>
        <v>85.950999999999993</v>
      </c>
      <c r="N55">
        <v>2055</v>
      </c>
      <c r="O55" t="s">
        <v>352</v>
      </c>
      <c r="P55" t="s">
        <v>352</v>
      </c>
      <c r="Q55" t="s">
        <v>353</v>
      </c>
    </row>
    <row r="56" spans="1:17" x14ac:dyDescent="0.3">
      <c r="A56">
        <v>6134</v>
      </c>
      <c r="B56" t="s">
        <v>16</v>
      </c>
      <c r="C56" t="s">
        <v>159</v>
      </c>
      <c r="D56" t="s">
        <v>160</v>
      </c>
      <c r="E56" t="s">
        <v>19</v>
      </c>
      <c r="F56" t="s">
        <v>20</v>
      </c>
      <c r="G56" s="4">
        <v>85.1</v>
      </c>
      <c r="H56">
        <v>3600</v>
      </c>
      <c r="I56" t="s">
        <v>58</v>
      </c>
      <c r="J56" t="str">
        <f t="shared" si="2"/>
        <v>G</v>
      </c>
      <c r="K56" t="s">
        <v>59</v>
      </c>
      <c r="L56" t="s">
        <v>20</v>
      </c>
      <c r="M56" s="4">
        <f>G56*1.01</f>
        <v>85.950999999999993</v>
      </c>
      <c r="N56">
        <v>2055</v>
      </c>
      <c r="O56" t="s">
        <v>352</v>
      </c>
      <c r="P56" t="s">
        <v>352</v>
      </c>
      <c r="Q56" t="s">
        <v>353</v>
      </c>
    </row>
    <row r="57" spans="1:17" x14ac:dyDescent="0.3">
      <c r="A57">
        <v>6137</v>
      </c>
      <c r="B57" t="s">
        <v>16</v>
      </c>
      <c r="C57" t="s">
        <v>161</v>
      </c>
      <c r="D57" t="s">
        <v>162</v>
      </c>
      <c r="E57" t="s">
        <v>19</v>
      </c>
      <c r="F57" t="s">
        <v>20</v>
      </c>
      <c r="G57" s="4">
        <v>78.53</v>
      </c>
      <c r="H57">
        <v>3535</v>
      </c>
      <c r="I57" t="s">
        <v>163</v>
      </c>
      <c r="J57" t="str">
        <f t="shared" si="2"/>
        <v>G</v>
      </c>
      <c r="K57" t="s">
        <v>164</v>
      </c>
      <c r="L57" t="s">
        <v>20</v>
      </c>
      <c r="M57" s="4">
        <f>G57*1.01</f>
        <v>79.315300000000008</v>
      </c>
      <c r="N57">
        <v>2055</v>
      </c>
      <c r="O57" t="s">
        <v>352</v>
      </c>
      <c r="P57" t="s">
        <v>352</v>
      </c>
      <c r="Q57" t="s">
        <v>353</v>
      </c>
    </row>
    <row r="58" spans="1:17" x14ac:dyDescent="0.3">
      <c r="A58">
        <v>6139</v>
      </c>
      <c r="B58" t="s">
        <v>16</v>
      </c>
      <c r="C58" t="s">
        <v>161</v>
      </c>
      <c r="D58" t="s">
        <v>165</v>
      </c>
      <c r="E58" t="s">
        <v>19</v>
      </c>
      <c r="F58" t="s">
        <v>20</v>
      </c>
      <c r="G58" s="4">
        <v>78.53</v>
      </c>
      <c r="H58">
        <v>3600</v>
      </c>
      <c r="I58" t="s">
        <v>163</v>
      </c>
      <c r="J58" t="str">
        <f t="shared" si="2"/>
        <v>G</v>
      </c>
      <c r="K58" t="s">
        <v>164</v>
      </c>
      <c r="L58" t="s">
        <v>20</v>
      </c>
      <c r="M58" s="4">
        <f>G58*1.01</f>
        <v>79.315300000000008</v>
      </c>
      <c r="N58">
        <v>2055</v>
      </c>
      <c r="O58" t="s">
        <v>352</v>
      </c>
      <c r="P58" t="s">
        <v>352</v>
      </c>
      <c r="Q58" t="s">
        <v>353</v>
      </c>
    </row>
    <row r="59" spans="1:17" x14ac:dyDescent="0.3">
      <c r="A59">
        <v>6142</v>
      </c>
      <c r="B59" t="s">
        <v>16</v>
      </c>
      <c r="C59" t="s">
        <v>166</v>
      </c>
      <c r="D59" t="s">
        <v>167</v>
      </c>
      <c r="E59" t="s">
        <v>19</v>
      </c>
      <c r="F59" t="s">
        <v>20</v>
      </c>
      <c r="G59" s="4">
        <v>82.29</v>
      </c>
      <c r="H59">
        <v>3535</v>
      </c>
      <c r="I59" t="s">
        <v>125</v>
      </c>
      <c r="J59" t="str">
        <f t="shared" si="2"/>
        <v>G</v>
      </c>
      <c r="K59" t="s">
        <v>126</v>
      </c>
      <c r="L59" t="s">
        <v>20</v>
      </c>
      <c r="M59" s="4">
        <f>G59*1.01</f>
        <v>83.11290000000001</v>
      </c>
      <c r="N59">
        <v>2055</v>
      </c>
      <c r="O59" t="s">
        <v>352</v>
      </c>
      <c r="P59" t="s">
        <v>352</v>
      </c>
      <c r="Q59" t="s">
        <v>353</v>
      </c>
    </row>
    <row r="60" spans="1:17" x14ac:dyDescent="0.3">
      <c r="A60">
        <v>6144</v>
      </c>
      <c r="B60" t="s">
        <v>16</v>
      </c>
      <c r="C60" t="s">
        <v>166</v>
      </c>
      <c r="D60" t="s">
        <v>168</v>
      </c>
      <c r="E60" t="s">
        <v>19</v>
      </c>
      <c r="F60" t="s">
        <v>20</v>
      </c>
      <c r="G60" s="4">
        <v>82.29</v>
      </c>
      <c r="H60">
        <v>3600</v>
      </c>
      <c r="I60" t="s">
        <v>125</v>
      </c>
      <c r="J60" t="str">
        <f t="shared" si="2"/>
        <v>G</v>
      </c>
      <c r="K60" t="s">
        <v>126</v>
      </c>
      <c r="L60" t="s">
        <v>20</v>
      </c>
      <c r="M60" s="4">
        <f>G60*1.01</f>
        <v>83.11290000000001</v>
      </c>
      <c r="N60">
        <v>2055</v>
      </c>
      <c r="O60" t="s">
        <v>352</v>
      </c>
      <c r="P60" t="s">
        <v>352</v>
      </c>
      <c r="Q60" t="s">
        <v>353</v>
      </c>
    </row>
    <row r="61" spans="1:17" x14ac:dyDescent="0.3">
      <c r="A61">
        <v>6146</v>
      </c>
      <c r="B61" t="s">
        <v>16</v>
      </c>
      <c r="C61" t="s">
        <v>169</v>
      </c>
      <c r="D61" t="s">
        <v>170</v>
      </c>
      <c r="E61" t="s">
        <v>19</v>
      </c>
      <c r="F61" t="s">
        <v>20</v>
      </c>
      <c r="G61" s="4">
        <v>75.98</v>
      </c>
      <c r="H61">
        <v>3535</v>
      </c>
      <c r="I61" t="s">
        <v>171</v>
      </c>
      <c r="J61" t="str">
        <f t="shared" si="2"/>
        <v>G</v>
      </c>
      <c r="K61" t="s">
        <v>172</v>
      </c>
      <c r="L61" t="s">
        <v>20</v>
      </c>
      <c r="M61" s="4">
        <f>G61*1.01</f>
        <v>76.739800000000002</v>
      </c>
      <c r="N61">
        <v>2055</v>
      </c>
      <c r="O61" t="s">
        <v>352</v>
      </c>
      <c r="P61" t="s">
        <v>352</v>
      </c>
      <c r="Q61" t="s">
        <v>353</v>
      </c>
    </row>
    <row r="62" spans="1:17" x14ac:dyDescent="0.3">
      <c r="A62">
        <v>6148</v>
      </c>
      <c r="B62" t="s">
        <v>16</v>
      </c>
      <c r="C62" t="s">
        <v>169</v>
      </c>
      <c r="D62" t="s">
        <v>173</v>
      </c>
      <c r="E62" t="s">
        <v>19</v>
      </c>
      <c r="F62" t="s">
        <v>20</v>
      </c>
      <c r="G62" s="4">
        <v>75.98</v>
      </c>
      <c r="H62">
        <v>3600</v>
      </c>
      <c r="I62" t="s">
        <v>171</v>
      </c>
      <c r="J62" t="str">
        <f t="shared" si="2"/>
        <v>G</v>
      </c>
      <c r="K62" t="s">
        <v>172</v>
      </c>
      <c r="L62" t="s">
        <v>20</v>
      </c>
      <c r="M62" s="4">
        <f>G62*1.01</f>
        <v>76.739800000000002</v>
      </c>
      <c r="N62">
        <v>2055</v>
      </c>
      <c r="O62" t="s">
        <v>352</v>
      </c>
      <c r="P62" t="s">
        <v>352</v>
      </c>
      <c r="Q62" t="s">
        <v>353</v>
      </c>
    </row>
    <row r="63" spans="1:17" x14ac:dyDescent="0.3">
      <c r="A63">
        <v>6150</v>
      </c>
      <c r="B63" t="s">
        <v>16</v>
      </c>
      <c r="C63" t="s">
        <v>174</v>
      </c>
      <c r="D63" t="s">
        <v>175</v>
      </c>
      <c r="E63" t="s">
        <v>19</v>
      </c>
      <c r="F63" t="s">
        <v>20</v>
      </c>
      <c r="G63" s="4">
        <v>81.89</v>
      </c>
      <c r="H63">
        <v>3535</v>
      </c>
      <c r="I63" t="s">
        <v>176</v>
      </c>
      <c r="J63" t="str">
        <f t="shared" si="2"/>
        <v>G</v>
      </c>
      <c r="K63" t="s">
        <v>177</v>
      </c>
      <c r="L63" t="s">
        <v>20</v>
      </c>
      <c r="M63" s="4">
        <f>G63*1.01</f>
        <v>82.7089</v>
      </c>
      <c r="N63">
        <v>2055</v>
      </c>
      <c r="O63" t="s">
        <v>352</v>
      </c>
      <c r="P63" t="s">
        <v>352</v>
      </c>
      <c r="Q63" t="s">
        <v>353</v>
      </c>
    </row>
    <row r="64" spans="1:17" x14ac:dyDescent="0.3">
      <c r="A64">
        <v>6153</v>
      </c>
      <c r="B64" t="s">
        <v>16</v>
      </c>
      <c r="C64" t="s">
        <v>174</v>
      </c>
      <c r="D64" t="s">
        <v>178</v>
      </c>
      <c r="E64" t="s">
        <v>19</v>
      </c>
      <c r="F64" t="s">
        <v>20</v>
      </c>
      <c r="G64" s="4">
        <v>81.89</v>
      </c>
      <c r="H64">
        <v>3600</v>
      </c>
      <c r="I64" t="s">
        <v>176</v>
      </c>
      <c r="J64" t="str">
        <f t="shared" si="2"/>
        <v>G</v>
      </c>
      <c r="K64" t="s">
        <v>177</v>
      </c>
      <c r="L64" t="s">
        <v>20</v>
      </c>
      <c r="M64" s="4">
        <f>G64*1.01</f>
        <v>82.7089</v>
      </c>
      <c r="N64">
        <v>2055</v>
      </c>
      <c r="O64" t="s">
        <v>352</v>
      </c>
      <c r="P64" t="s">
        <v>352</v>
      </c>
      <c r="Q64" t="s">
        <v>353</v>
      </c>
    </row>
    <row r="65" spans="1:17" x14ac:dyDescent="0.3">
      <c r="A65">
        <v>6156</v>
      </c>
      <c r="B65" t="s">
        <v>16</v>
      </c>
      <c r="C65" t="s">
        <v>179</v>
      </c>
      <c r="D65" t="s">
        <v>180</v>
      </c>
      <c r="E65" t="s">
        <v>19</v>
      </c>
      <c r="F65" t="s">
        <v>20</v>
      </c>
      <c r="G65" s="4">
        <v>81.89</v>
      </c>
      <c r="H65">
        <v>3535</v>
      </c>
      <c r="I65" t="s">
        <v>176</v>
      </c>
      <c r="J65" t="str">
        <f t="shared" si="2"/>
        <v>G</v>
      </c>
      <c r="K65" t="s">
        <v>177</v>
      </c>
      <c r="L65" t="s">
        <v>20</v>
      </c>
      <c r="M65" s="4">
        <f>G65*1.01</f>
        <v>82.7089</v>
      </c>
      <c r="N65">
        <v>2055</v>
      </c>
      <c r="O65" t="s">
        <v>352</v>
      </c>
      <c r="P65" t="s">
        <v>352</v>
      </c>
      <c r="Q65" t="s">
        <v>353</v>
      </c>
    </row>
    <row r="66" spans="1:17" x14ac:dyDescent="0.3">
      <c r="A66">
        <v>6159</v>
      </c>
      <c r="B66" t="s">
        <v>16</v>
      </c>
      <c r="C66" t="s">
        <v>179</v>
      </c>
      <c r="D66" t="s">
        <v>181</v>
      </c>
      <c r="E66" t="s">
        <v>19</v>
      </c>
      <c r="F66" t="s">
        <v>20</v>
      </c>
      <c r="G66" s="4">
        <v>81.89</v>
      </c>
      <c r="H66">
        <v>3600</v>
      </c>
      <c r="I66" t="s">
        <v>176</v>
      </c>
      <c r="J66" t="str">
        <f t="shared" si="2"/>
        <v>G</v>
      </c>
      <c r="K66" t="s">
        <v>177</v>
      </c>
      <c r="L66" t="s">
        <v>20</v>
      </c>
      <c r="M66" s="4">
        <f>G66*1.01</f>
        <v>82.7089</v>
      </c>
      <c r="N66">
        <v>2055</v>
      </c>
      <c r="O66" t="s">
        <v>352</v>
      </c>
      <c r="P66" t="s">
        <v>352</v>
      </c>
      <c r="Q66" t="s">
        <v>353</v>
      </c>
    </row>
    <row r="67" spans="1:17" x14ac:dyDescent="0.3">
      <c r="A67">
        <v>6162</v>
      </c>
      <c r="B67" t="s">
        <v>16</v>
      </c>
      <c r="C67" t="s">
        <v>182</v>
      </c>
      <c r="D67" t="s">
        <v>183</v>
      </c>
      <c r="E67" t="s">
        <v>19</v>
      </c>
      <c r="F67" t="s">
        <v>20</v>
      </c>
      <c r="G67" s="4">
        <v>80.08</v>
      </c>
      <c r="H67">
        <v>3535</v>
      </c>
      <c r="I67" t="s">
        <v>184</v>
      </c>
      <c r="J67" t="str">
        <f t="shared" ref="J67:J90" si="3">LEFT(I67,1)</f>
        <v>G</v>
      </c>
      <c r="K67" t="s">
        <v>185</v>
      </c>
      <c r="L67" t="s">
        <v>20</v>
      </c>
      <c r="M67" s="4">
        <f>G67*1.01</f>
        <v>80.880799999999994</v>
      </c>
      <c r="N67">
        <v>2055</v>
      </c>
      <c r="O67" t="s">
        <v>352</v>
      </c>
      <c r="P67" t="s">
        <v>352</v>
      </c>
      <c r="Q67" t="s">
        <v>353</v>
      </c>
    </row>
    <row r="68" spans="1:17" x14ac:dyDescent="0.3">
      <c r="A68">
        <v>6164</v>
      </c>
      <c r="B68" t="s">
        <v>16</v>
      </c>
      <c r="C68" t="s">
        <v>182</v>
      </c>
      <c r="D68" t="s">
        <v>186</v>
      </c>
      <c r="E68" t="s">
        <v>19</v>
      </c>
      <c r="F68" t="s">
        <v>20</v>
      </c>
      <c r="G68" s="4">
        <v>80.08</v>
      </c>
      <c r="H68">
        <v>3600</v>
      </c>
      <c r="I68" t="s">
        <v>184</v>
      </c>
      <c r="J68" t="str">
        <f t="shared" si="3"/>
        <v>G</v>
      </c>
      <c r="K68" t="s">
        <v>185</v>
      </c>
      <c r="L68" t="s">
        <v>20</v>
      </c>
      <c r="M68" s="4">
        <f>G68*1.01</f>
        <v>80.880799999999994</v>
      </c>
      <c r="N68">
        <v>2055</v>
      </c>
      <c r="O68" t="s">
        <v>352</v>
      </c>
      <c r="P68" t="s">
        <v>352</v>
      </c>
      <c r="Q68" t="s">
        <v>353</v>
      </c>
    </row>
    <row r="69" spans="1:17" x14ac:dyDescent="0.3">
      <c r="A69">
        <v>6166</v>
      </c>
      <c r="B69" t="s">
        <v>16</v>
      </c>
      <c r="C69" t="s">
        <v>187</v>
      </c>
      <c r="D69" t="s">
        <v>188</v>
      </c>
      <c r="E69" t="s">
        <v>19</v>
      </c>
      <c r="F69" t="s">
        <v>20</v>
      </c>
      <c r="G69" s="4">
        <v>80.66</v>
      </c>
      <c r="H69">
        <v>3535</v>
      </c>
      <c r="I69" t="s">
        <v>189</v>
      </c>
      <c r="J69" t="str">
        <f t="shared" si="3"/>
        <v>G</v>
      </c>
      <c r="K69" t="s">
        <v>190</v>
      </c>
      <c r="L69" t="s">
        <v>20</v>
      </c>
      <c r="M69" s="4">
        <f>G69*1.01</f>
        <v>81.4666</v>
      </c>
      <c r="N69">
        <v>2055</v>
      </c>
      <c r="O69" t="s">
        <v>352</v>
      </c>
      <c r="P69" t="s">
        <v>352</v>
      </c>
      <c r="Q69" t="s">
        <v>353</v>
      </c>
    </row>
    <row r="70" spans="1:17" x14ac:dyDescent="0.3">
      <c r="A70">
        <v>6170</v>
      </c>
      <c r="B70" t="s">
        <v>16</v>
      </c>
      <c r="C70" t="s">
        <v>191</v>
      </c>
      <c r="D70" t="s">
        <v>192</v>
      </c>
      <c r="E70" t="s">
        <v>19</v>
      </c>
      <c r="F70" t="s">
        <v>20</v>
      </c>
      <c r="G70" s="4">
        <v>80.069999999999993</v>
      </c>
      <c r="H70">
        <v>3600</v>
      </c>
      <c r="I70" t="s">
        <v>193</v>
      </c>
      <c r="J70" t="str">
        <f t="shared" si="3"/>
        <v>G</v>
      </c>
      <c r="K70" t="s">
        <v>194</v>
      </c>
      <c r="L70" t="s">
        <v>20</v>
      </c>
      <c r="M70" s="4">
        <f>G70*1.01</f>
        <v>80.870699999999999</v>
      </c>
      <c r="N70">
        <v>2055</v>
      </c>
      <c r="O70" t="s">
        <v>352</v>
      </c>
      <c r="P70" t="s">
        <v>352</v>
      </c>
      <c r="Q70" t="s">
        <v>353</v>
      </c>
    </row>
    <row r="71" spans="1:17" x14ac:dyDescent="0.3">
      <c r="A71">
        <v>6172</v>
      </c>
      <c r="B71" t="s">
        <v>16</v>
      </c>
      <c r="C71" t="s">
        <v>195</v>
      </c>
      <c r="D71" t="s">
        <v>196</v>
      </c>
      <c r="E71" t="s">
        <v>19</v>
      </c>
      <c r="F71" t="s">
        <v>20</v>
      </c>
      <c r="G71" s="4">
        <v>80.08</v>
      </c>
      <c r="H71">
        <v>3535</v>
      </c>
      <c r="I71" t="s">
        <v>197</v>
      </c>
      <c r="J71" t="str">
        <f t="shared" si="3"/>
        <v>G</v>
      </c>
      <c r="K71" t="s">
        <v>198</v>
      </c>
      <c r="L71" t="s">
        <v>20</v>
      </c>
      <c r="M71" s="4">
        <f>G71*1.01</f>
        <v>80.880799999999994</v>
      </c>
      <c r="N71">
        <v>2055</v>
      </c>
      <c r="O71" t="s">
        <v>352</v>
      </c>
      <c r="P71" t="s">
        <v>352</v>
      </c>
      <c r="Q71" t="s">
        <v>353</v>
      </c>
    </row>
    <row r="72" spans="1:17" x14ac:dyDescent="0.3">
      <c r="A72">
        <v>6174</v>
      </c>
      <c r="B72" t="s">
        <v>16</v>
      </c>
      <c r="C72" t="s">
        <v>195</v>
      </c>
      <c r="D72" t="s">
        <v>199</v>
      </c>
      <c r="E72" t="s">
        <v>19</v>
      </c>
      <c r="F72" t="s">
        <v>20</v>
      </c>
      <c r="G72" s="4">
        <v>80.08</v>
      </c>
      <c r="H72">
        <v>3600</v>
      </c>
      <c r="I72" t="s">
        <v>197</v>
      </c>
      <c r="J72" t="str">
        <f t="shared" si="3"/>
        <v>G</v>
      </c>
      <c r="K72" t="s">
        <v>198</v>
      </c>
      <c r="L72" t="s">
        <v>20</v>
      </c>
      <c r="M72" s="4">
        <f>G72*1.01</f>
        <v>80.880799999999994</v>
      </c>
      <c r="N72">
        <v>2055</v>
      </c>
      <c r="O72" t="s">
        <v>352</v>
      </c>
      <c r="P72" t="s">
        <v>352</v>
      </c>
      <c r="Q72" t="s">
        <v>353</v>
      </c>
    </row>
    <row r="73" spans="1:17" x14ac:dyDescent="0.3">
      <c r="A73">
        <v>6176</v>
      </c>
      <c r="B73" t="s">
        <v>16</v>
      </c>
      <c r="C73" t="s">
        <v>200</v>
      </c>
      <c r="D73" t="s">
        <v>201</v>
      </c>
      <c r="E73" t="s">
        <v>19</v>
      </c>
      <c r="F73" t="s">
        <v>20</v>
      </c>
      <c r="G73" s="4">
        <v>84.08</v>
      </c>
      <c r="H73">
        <v>3535</v>
      </c>
      <c r="I73" t="s">
        <v>202</v>
      </c>
      <c r="J73" t="str">
        <f t="shared" si="3"/>
        <v>G</v>
      </c>
      <c r="K73" t="s">
        <v>203</v>
      </c>
      <c r="L73" t="s">
        <v>20</v>
      </c>
      <c r="M73" s="4">
        <f>G73*1.01</f>
        <v>84.9208</v>
      </c>
      <c r="N73">
        <v>2055</v>
      </c>
      <c r="O73" t="s">
        <v>352</v>
      </c>
      <c r="P73" t="s">
        <v>352</v>
      </c>
      <c r="Q73" t="s">
        <v>353</v>
      </c>
    </row>
    <row r="74" spans="1:17" x14ac:dyDescent="0.3">
      <c r="A74">
        <v>6182</v>
      </c>
      <c r="B74" t="s">
        <v>16</v>
      </c>
      <c r="C74" t="s">
        <v>204</v>
      </c>
      <c r="D74" t="s">
        <v>205</v>
      </c>
      <c r="E74" t="s">
        <v>19</v>
      </c>
      <c r="F74" t="s">
        <v>20</v>
      </c>
      <c r="G74" s="4">
        <v>99</v>
      </c>
      <c r="H74">
        <v>3535</v>
      </c>
      <c r="I74" t="s">
        <v>206</v>
      </c>
      <c r="J74" t="str">
        <f t="shared" si="3"/>
        <v>G</v>
      </c>
      <c r="K74" t="s">
        <v>207</v>
      </c>
      <c r="L74" t="s">
        <v>20</v>
      </c>
      <c r="M74" s="4">
        <f>G74*1.01</f>
        <v>99.99</v>
      </c>
      <c r="N74">
        <v>2055</v>
      </c>
      <c r="O74" t="s">
        <v>352</v>
      </c>
      <c r="P74" t="s">
        <v>352</v>
      </c>
      <c r="Q74" t="s">
        <v>353</v>
      </c>
    </row>
    <row r="75" spans="1:17" x14ac:dyDescent="0.3">
      <c r="A75">
        <v>6185</v>
      </c>
      <c r="B75" t="s">
        <v>16</v>
      </c>
      <c r="C75" t="s">
        <v>208</v>
      </c>
      <c r="D75" t="s">
        <v>205</v>
      </c>
      <c r="E75" t="s">
        <v>19</v>
      </c>
      <c r="F75" t="s">
        <v>20</v>
      </c>
      <c r="G75" s="4">
        <v>99</v>
      </c>
      <c r="H75">
        <v>3600</v>
      </c>
      <c r="I75" t="s">
        <v>206</v>
      </c>
      <c r="J75" t="str">
        <f t="shared" si="3"/>
        <v>G</v>
      </c>
      <c r="K75" t="s">
        <v>207</v>
      </c>
      <c r="L75" t="s">
        <v>20</v>
      </c>
      <c r="M75" s="4">
        <f>G75*1.01</f>
        <v>99.99</v>
      </c>
      <c r="N75">
        <v>2055</v>
      </c>
      <c r="O75" t="s">
        <v>352</v>
      </c>
      <c r="P75" t="s">
        <v>352</v>
      </c>
      <c r="Q75" t="s">
        <v>353</v>
      </c>
    </row>
    <row r="76" spans="1:17" x14ac:dyDescent="0.3">
      <c r="A76">
        <v>6188</v>
      </c>
      <c r="B76" t="s">
        <v>16</v>
      </c>
      <c r="C76" t="s">
        <v>209</v>
      </c>
      <c r="D76" t="s">
        <v>210</v>
      </c>
      <c r="E76" t="s">
        <v>19</v>
      </c>
      <c r="F76" t="s">
        <v>20</v>
      </c>
      <c r="G76" s="4">
        <v>99</v>
      </c>
      <c r="H76">
        <v>3535</v>
      </c>
      <c r="I76" t="s">
        <v>206</v>
      </c>
      <c r="J76" t="str">
        <f t="shared" si="3"/>
        <v>G</v>
      </c>
      <c r="K76" t="s">
        <v>207</v>
      </c>
      <c r="L76" t="s">
        <v>20</v>
      </c>
      <c r="M76" s="4">
        <f>G76*1.01</f>
        <v>99.99</v>
      </c>
      <c r="N76">
        <v>2055</v>
      </c>
      <c r="O76" t="s">
        <v>352</v>
      </c>
      <c r="P76" t="s">
        <v>352</v>
      </c>
      <c r="Q76" t="s">
        <v>353</v>
      </c>
    </row>
    <row r="77" spans="1:17" x14ac:dyDescent="0.3">
      <c r="A77">
        <v>6191</v>
      </c>
      <c r="B77" t="s">
        <v>16</v>
      </c>
      <c r="C77" t="s">
        <v>209</v>
      </c>
      <c r="D77" t="s">
        <v>211</v>
      </c>
      <c r="E77" t="s">
        <v>19</v>
      </c>
      <c r="F77" t="s">
        <v>20</v>
      </c>
      <c r="G77" s="4">
        <v>99</v>
      </c>
      <c r="H77">
        <v>3600</v>
      </c>
      <c r="I77" t="s">
        <v>206</v>
      </c>
      <c r="J77" t="str">
        <f t="shared" si="3"/>
        <v>G</v>
      </c>
      <c r="K77" t="s">
        <v>207</v>
      </c>
      <c r="L77" t="s">
        <v>20</v>
      </c>
      <c r="M77" s="4">
        <f>G77*1.01</f>
        <v>99.99</v>
      </c>
      <c r="N77">
        <v>2055</v>
      </c>
      <c r="O77" t="s">
        <v>352</v>
      </c>
      <c r="P77" t="s">
        <v>352</v>
      </c>
      <c r="Q77" t="s">
        <v>353</v>
      </c>
    </row>
    <row r="78" spans="1:17" x14ac:dyDescent="0.3">
      <c r="A78">
        <v>6194</v>
      </c>
      <c r="B78" t="s">
        <v>16</v>
      </c>
      <c r="C78" t="s">
        <v>212</v>
      </c>
      <c r="D78" t="s">
        <v>213</v>
      </c>
      <c r="E78" t="s">
        <v>19</v>
      </c>
      <c r="F78" t="s">
        <v>20</v>
      </c>
      <c r="G78" s="4">
        <v>79</v>
      </c>
      <c r="H78">
        <v>3535</v>
      </c>
      <c r="I78" t="s">
        <v>53</v>
      </c>
      <c r="J78" t="str">
        <f t="shared" si="3"/>
        <v>G</v>
      </c>
      <c r="K78" t="s">
        <v>54</v>
      </c>
      <c r="L78" t="s">
        <v>20</v>
      </c>
      <c r="M78" s="4">
        <f>G78*1.01</f>
        <v>79.790000000000006</v>
      </c>
      <c r="N78">
        <v>2055</v>
      </c>
      <c r="O78" t="s">
        <v>352</v>
      </c>
      <c r="P78" t="s">
        <v>352</v>
      </c>
      <c r="Q78" t="s">
        <v>353</v>
      </c>
    </row>
    <row r="79" spans="1:17" x14ac:dyDescent="0.3">
      <c r="A79">
        <v>6197</v>
      </c>
      <c r="B79" t="s">
        <v>16</v>
      </c>
      <c r="C79" t="s">
        <v>212</v>
      </c>
      <c r="D79" t="s">
        <v>214</v>
      </c>
      <c r="E79" t="s">
        <v>19</v>
      </c>
      <c r="F79" t="s">
        <v>20</v>
      </c>
      <c r="G79" s="4">
        <v>79</v>
      </c>
      <c r="H79">
        <v>3600</v>
      </c>
      <c r="I79" t="s">
        <v>53</v>
      </c>
      <c r="J79" t="str">
        <f t="shared" si="3"/>
        <v>G</v>
      </c>
      <c r="K79" t="s">
        <v>54</v>
      </c>
      <c r="L79" t="s">
        <v>20</v>
      </c>
      <c r="M79" s="4">
        <f>G79*1.01</f>
        <v>79.790000000000006</v>
      </c>
      <c r="N79">
        <v>2055</v>
      </c>
      <c r="O79" t="s">
        <v>352</v>
      </c>
      <c r="P79" t="s">
        <v>352</v>
      </c>
      <c r="Q79" t="s">
        <v>353</v>
      </c>
    </row>
    <row r="80" spans="1:17" x14ac:dyDescent="0.3">
      <c r="A80">
        <v>6200</v>
      </c>
      <c r="B80" t="s">
        <v>16</v>
      </c>
      <c r="C80" t="s">
        <v>215</v>
      </c>
      <c r="D80" t="s">
        <v>216</v>
      </c>
      <c r="E80" t="s">
        <v>19</v>
      </c>
      <c r="F80" t="s">
        <v>20</v>
      </c>
      <c r="G80" s="4">
        <v>85.62</v>
      </c>
      <c r="H80">
        <v>3535</v>
      </c>
      <c r="I80" t="s">
        <v>217</v>
      </c>
      <c r="J80" t="str">
        <f t="shared" si="3"/>
        <v>G</v>
      </c>
      <c r="K80" t="s">
        <v>218</v>
      </c>
      <c r="L80" t="s">
        <v>20</v>
      </c>
      <c r="M80" s="4">
        <f>G80*1.01</f>
        <v>86.476200000000006</v>
      </c>
      <c r="N80">
        <v>2055</v>
      </c>
      <c r="O80" t="s">
        <v>352</v>
      </c>
      <c r="P80" t="s">
        <v>352</v>
      </c>
      <c r="Q80" t="s">
        <v>353</v>
      </c>
    </row>
    <row r="81" spans="1:17" x14ac:dyDescent="0.3">
      <c r="A81">
        <v>6202</v>
      </c>
      <c r="B81" t="s">
        <v>16</v>
      </c>
      <c r="C81" t="s">
        <v>215</v>
      </c>
      <c r="D81" t="s">
        <v>219</v>
      </c>
      <c r="E81" t="s">
        <v>19</v>
      </c>
      <c r="F81" t="s">
        <v>20</v>
      </c>
      <c r="G81" s="4">
        <v>85.62</v>
      </c>
      <c r="H81">
        <v>3600</v>
      </c>
      <c r="I81" t="s">
        <v>217</v>
      </c>
      <c r="J81" t="str">
        <f t="shared" si="3"/>
        <v>G</v>
      </c>
      <c r="K81" t="s">
        <v>218</v>
      </c>
      <c r="L81" t="s">
        <v>20</v>
      </c>
      <c r="M81" s="4">
        <f>G81*1.01</f>
        <v>86.476200000000006</v>
      </c>
      <c r="N81">
        <v>2055</v>
      </c>
      <c r="O81" t="s">
        <v>352</v>
      </c>
      <c r="P81" t="s">
        <v>352</v>
      </c>
      <c r="Q81" t="s">
        <v>353</v>
      </c>
    </row>
    <row r="82" spans="1:17" x14ac:dyDescent="0.3">
      <c r="A82">
        <v>6204</v>
      </c>
      <c r="B82" t="s">
        <v>16</v>
      </c>
      <c r="C82" t="s">
        <v>220</v>
      </c>
      <c r="D82" t="s">
        <v>221</v>
      </c>
      <c r="E82" t="s">
        <v>19</v>
      </c>
      <c r="F82" t="s">
        <v>20</v>
      </c>
      <c r="G82" s="4">
        <v>85.62</v>
      </c>
      <c r="H82">
        <v>3535</v>
      </c>
      <c r="I82" t="s">
        <v>217</v>
      </c>
      <c r="J82" t="str">
        <f t="shared" si="3"/>
        <v>G</v>
      </c>
      <c r="K82" t="s">
        <v>218</v>
      </c>
      <c r="L82" t="s">
        <v>20</v>
      </c>
      <c r="M82" s="4">
        <f>G82*1.01</f>
        <v>86.476200000000006</v>
      </c>
      <c r="N82">
        <v>2055</v>
      </c>
      <c r="O82" t="s">
        <v>352</v>
      </c>
      <c r="P82" t="s">
        <v>352</v>
      </c>
      <c r="Q82" t="s">
        <v>353</v>
      </c>
    </row>
    <row r="83" spans="1:17" x14ac:dyDescent="0.3">
      <c r="A83">
        <v>6206</v>
      </c>
      <c r="B83" t="s">
        <v>16</v>
      </c>
      <c r="C83" t="s">
        <v>220</v>
      </c>
      <c r="D83" t="s">
        <v>222</v>
      </c>
      <c r="E83" t="s">
        <v>19</v>
      </c>
      <c r="F83" t="s">
        <v>20</v>
      </c>
      <c r="G83" s="4">
        <v>85.62</v>
      </c>
      <c r="H83">
        <v>3600</v>
      </c>
      <c r="I83" t="s">
        <v>217</v>
      </c>
      <c r="J83" t="str">
        <f t="shared" si="3"/>
        <v>G</v>
      </c>
      <c r="K83" t="s">
        <v>218</v>
      </c>
      <c r="L83" t="s">
        <v>20</v>
      </c>
      <c r="M83" s="4">
        <f>G83*1.01</f>
        <v>86.476200000000006</v>
      </c>
      <c r="N83">
        <v>2055</v>
      </c>
      <c r="O83" t="s">
        <v>352</v>
      </c>
      <c r="P83" t="s">
        <v>352</v>
      </c>
      <c r="Q83" t="s">
        <v>353</v>
      </c>
    </row>
    <row r="84" spans="1:17" x14ac:dyDescent="0.3">
      <c r="A84">
        <v>6208</v>
      </c>
      <c r="B84" t="s">
        <v>16</v>
      </c>
      <c r="C84" t="s">
        <v>223</v>
      </c>
      <c r="D84" t="s">
        <v>224</v>
      </c>
      <c r="E84" t="s">
        <v>19</v>
      </c>
      <c r="F84" t="s">
        <v>20</v>
      </c>
      <c r="G84" s="4">
        <v>80.5</v>
      </c>
      <c r="H84">
        <v>3535</v>
      </c>
      <c r="I84" t="s">
        <v>225</v>
      </c>
      <c r="J84" t="str">
        <f t="shared" si="3"/>
        <v>G</v>
      </c>
      <c r="K84" t="s">
        <v>226</v>
      </c>
      <c r="L84" t="s">
        <v>20</v>
      </c>
      <c r="M84" s="4">
        <f>G84*1.01</f>
        <v>81.305000000000007</v>
      </c>
      <c r="N84">
        <v>2055</v>
      </c>
      <c r="O84" t="s">
        <v>352</v>
      </c>
      <c r="P84" t="s">
        <v>352</v>
      </c>
      <c r="Q84" t="s">
        <v>353</v>
      </c>
    </row>
    <row r="85" spans="1:17" x14ac:dyDescent="0.3">
      <c r="A85">
        <v>6218</v>
      </c>
      <c r="B85" t="s">
        <v>16</v>
      </c>
      <c r="C85" t="s">
        <v>227</v>
      </c>
      <c r="D85" t="s">
        <v>228</v>
      </c>
      <c r="E85" t="s">
        <v>19</v>
      </c>
      <c r="F85" t="s">
        <v>20</v>
      </c>
      <c r="G85" s="4">
        <v>106.02</v>
      </c>
      <c r="H85">
        <v>3535</v>
      </c>
      <c r="I85" t="s">
        <v>39</v>
      </c>
      <c r="J85" t="str">
        <f t="shared" si="3"/>
        <v>G</v>
      </c>
      <c r="K85" t="s">
        <v>146</v>
      </c>
      <c r="L85" t="s">
        <v>20</v>
      </c>
      <c r="M85" s="4">
        <f>G85*1.01</f>
        <v>107.08019999999999</v>
      </c>
      <c r="N85">
        <v>2055</v>
      </c>
      <c r="O85" t="s">
        <v>352</v>
      </c>
      <c r="P85" t="s">
        <v>352</v>
      </c>
      <c r="Q85" t="s">
        <v>353</v>
      </c>
    </row>
    <row r="86" spans="1:17" x14ac:dyDescent="0.3">
      <c r="A86">
        <v>6224</v>
      </c>
      <c r="B86" t="s">
        <v>16</v>
      </c>
      <c r="C86" t="s">
        <v>229</v>
      </c>
      <c r="D86" t="s">
        <v>230</v>
      </c>
      <c r="E86" t="s">
        <v>19</v>
      </c>
      <c r="F86" t="s">
        <v>20</v>
      </c>
      <c r="G86" s="4">
        <v>100</v>
      </c>
      <c r="H86">
        <v>3535</v>
      </c>
      <c r="I86" t="s">
        <v>231</v>
      </c>
      <c r="J86" t="str">
        <f t="shared" si="3"/>
        <v>G</v>
      </c>
      <c r="K86" t="s">
        <v>232</v>
      </c>
      <c r="L86" t="s">
        <v>20</v>
      </c>
      <c r="M86" s="4">
        <f>G86*1.01</f>
        <v>101</v>
      </c>
      <c r="N86">
        <v>2055</v>
      </c>
      <c r="O86" t="s">
        <v>352</v>
      </c>
      <c r="P86" t="s">
        <v>352</v>
      </c>
      <c r="Q86" t="s">
        <v>353</v>
      </c>
    </row>
    <row r="87" spans="1:17" x14ac:dyDescent="0.3">
      <c r="A87">
        <v>6227</v>
      </c>
      <c r="B87" t="s">
        <v>16</v>
      </c>
      <c r="C87" t="s">
        <v>233</v>
      </c>
      <c r="D87" t="s">
        <v>234</v>
      </c>
      <c r="E87" t="s">
        <v>19</v>
      </c>
      <c r="F87" t="s">
        <v>20</v>
      </c>
      <c r="G87" s="4">
        <v>103.17</v>
      </c>
      <c r="H87">
        <v>3535</v>
      </c>
      <c r="I87" t="s">
        <v>235</v>
      </c>
      <c r="J87" t="str">
        <f t="shared" si="3"/>
        <v>G</v>
      </c>
      <c r="K87" t="s">
        <v>236</v>
      </c>
      <c r="L87" t="s">
        <v>20</v>
      </c>
      <c r="M87" s="4">
        <f>G87*1.01</f>
        <v>104.2017</v>
      </c>
      <c r="N87">
        <v>2055</v>
      </c>
      <c r="O87" t="s">
        <v>352</v>
      </c>
      <c r="P87" t="s">
        <v>352</v>
      </c>
      <c r="Q87" t="s">
        <v>353</v>
      </c>
    </row>
    <row r="88" spans="1:17" x14ac:dyDescent="0.3">
      <c r="A88">
        <v>6238</v>
      </c>
      <c r="B88" t="s">
        <v>16</v>
      </c>
      <c r="C88" t="s">
        <v>237</v>
      </c>
      <c r="D88" t="s">
        <v>238</v>
      </c>
      <c r="E88" t="s">
        <v>19</v>
      </c>
      <c r="F88" t="s">
        <v>20</v>
      </c>
      <c r="G88" s="4">
        <v>99</v>
      </c>
      <c r="H88">
        <v>3600</v>
      </c>
      <c r="I88" t="s">
        <v>239</v>
      </c>
      <c r="J88" t="str">
        <f t="shared" si="3"/>
        <v>G</v>
      </c>
      <c r="K88" t="s">
        <v>240</v>
      </c>
      <c r="L88" t="s">
        <v>20</v>
      </c>
      <c r="M88" s="4">
        <f>G88*1.01</f>
        <v>99.99</v>
      </c>
      <c r="N88">
        <v>2055</v>
      </c>
      <c r="O88" t="s">
        <v>352</v>
      </c>
      <c r="P88" t="s">
        <v>352</v>
      </c>
      <c r="Q88" t="s">
        <v>353</v>
      </c>
    </row>
    <row r="89" spans="1:17" x14ac:dyDescent="0.3">
      <c r="A89">
        <v>6241</v>
      </c>
      <c r="B89" t="s">
        <v>16</v>
      </c>
      <c r="C89" t="s">
        <v>241</v>
      </c>
      <c r="D89" t="s">
        <v>242</v>
      </c>
      <c r="E89" t="s">
        <v>19</v>
      </c>
      <c r="F89" t="s">
        <v>20</v>
      </c>
      <c r="G89" s="4">
        <v>79.47</v>
      </c>
      <c r="H89">
        <v>3535</v>
      </c>
      <c r="I89" t="s">
        <v>243</v>
      </c>
      <c r="J89" t="str">
        <f t="shared" si="3"/>
        <v>G</v>
      </c>
      <c r="K89" t="s">
        <v>244</v>
      </c>
      <c r="L89" t="s">
        <v>20</v>
      </c>
      <c r="M89" s="4">
        <f>G89*1.01</f>
        <v>80.264700000000005</v>
      </c>
      <c r="N89">
        <v>2055</v>
      </c>
      <c r="O89" t="s">
        <v>352</v>
      </c>
      <c r="P89" t="s">
        <v>352</v>
      </c>
      <c r="Q89" t="s">
        <v>353</v>
      </c>
    </row>
    <row r="90" spans="1:17" x14ac:dyDescent="0.3">
      <c r="A90">
        <v>6249</v>
      </c>
      <c r="B90" t="s">
        <v>16</v>
      </c>
      <c r="C90" t="s">
        <v>245</v>
      </c>
      <c r="D90" t="s">
        <v>246</v>
      </c>
      <c r="E90" t="s">
        <v>19</v>
      </c>
      <c r="F90" t="s">
        <v>20</v>
      </c>
      <c r="G90" s="4">
        <v>79.47</v>
      </c>
      <c r="H90">
        <v>3535</v>
      </c>
      <c r="I90" t="s">
        <v>243</v>
      </c>
      <c r="J90" t="str">
        <f t="shared" si="3"/>
        <v>G</v>
      </c>
      <c r="K90" t="s">
        <v>244</v>
      </c>
      <c r="L90" t="s">
        <v>20</v>
      </c>
      <c r="M90" s="4">
        <f>G90*1.01</f>
        <v>80.264700000000005</v>
      </c>
      <c r="N90">
        <v>2055</v>
      </c>
      <c r="O90" t="s">
        <v>352</v>
      </c>
      <c r="P90" t="s">
        <v>352</v>
      </c>
      <c r="Q90" t="s">
        <v>353</v>
      </c>
    </row>
    <row r="91" spans="1:17" x14ac:dyDescent="0.3">
      <c r="A91">
        <v>6259</v>
      </c>
      <c r="B91" t="s">
        <v>16</v>
      </c>
      <c r="C91" t="s">
        <v>247</v>
      </c>
      <c r="D91" t="s">
        <v>248</v>
      </c>
      <c r="E91" t="s">
        <v>19</v>
      </c>
      <c r="F91" t="s">
        <v>20</v>
      </c>
      <c r="G91" s="4">
        <v>83.43</v>
      </c>
      <c r="H91">
        <v>3600</v>
      </c>
      <c r="I91" t="s">
        <v>92</v>
      </c>
      <c r="J91" t="str">
        <f t="shared" ref="J91:J123" si="4">LEFT(I91,1)</f>
        <v>G</v>
      </c>
      <c r="K91" t="s">
        <v>93</v>
      </c>
      <c r="L91" t="s">
        <v>20</v>
      </c>
      <c r="M91" s="4">
        <f>G91*1.01</f>
        <v>84.264300000000006</v>
      </c>
      <c r="N91">
        <v>2055</v>
      </c>
      <c r="O91" t="s">
        <v>352</v>
      </c>
      <c r="P91" t="s">
        <v>352</v>
      </c>
      <c r="Q91" t="s">
        <v>353</v>
      </c>
    </row>
    <row r="92" spans="1:17" x14ac:dyDescent="0.3">
      <c r="A92">
        <v>6261</v>
      </c>
      <c r="B92" t="s">
        <v>16</v>
      </c>
      <c r="C92" t="s">
        <v>249</v>
      </c>
      <c r="D92" t="s">
        <v>250</v>
      </c>
      <c r="E92" t="s">
        <v>19</v>
      </c>
      <c r="F92" t="s">
        <v>20</v>
      </c>
      <c r="G92" s="4">
        <v>100</v>
      </c>
      <c r="H92">
        <v>3535</v>
      </c>
      <c r="I92" t="s">
        <v>251</v>
      </c>
      <c r="J92" t="str">
        <f t="shared" si="4"/>
        <v>G</v>
      </c>
      <c r="K92" t="s">
        <v>252</v>
      </c>
      <c r="L92" t="s">
        <v>20</v>
      </c>
      <c r="M92" s="4">
        <f>G92*1.01</f>
        <v>101</v>
      </c>
      <c r="N92">
        <v>2055</v>
      </c>
      <c r="O92" t="s">
        <v>352</v>
      </c>
      <c r="P92" t="s">
        <v>352</v>
      </c>
      <c r="Q92" t="s">
        <v>353</v>
      </c>
    </row>
    <row r="93" spans="1:17" x14ac:dyDescent="0.3">
      <c r="A93">
        <v>6265</v>
      </c>
      <c r="B93" t="s">
        <v>16</v>
      </c>
      <c r="C93" t="s">
        <v>253</v>
      </c>
      <c r="D93" t="s">
        <v>254</v>
      </c>
      <c r="E93" t="s">
        <v>19</v>
      </c>
      <c r="F93" t="s">
        <v>20</v>
      </c>
      <c r="G93" s="4">
        <v>80.78</v>
      </c>
      <c r="H93">
        <v>3535</v>
      </c>
      <c r="I93" t="s">
        <v>255</v>
      </c>
      <c r="J93" t="str">
        <f t="shared" si="4"/>
        <v>G</v>
      </c>
      <c r="K93" t="s">
        <v>256</v>
      </c>
      <c r="L93" t="s">
        <v>20</v>
      </c>
      <c r="M93" s="4">
        <f>G93*1.01</f>
        <v>81.587800000000001</v>
      </c>
      <c r="N93">
        <v>2055</v>
      </c>
      <c r="O93" t="s">
        <v>352</v>
      </c>
      <c r="P93" t="s">
        <v>352</v>
      </c>
      <c r="Q93" t="s">
        <v>353</v>
      </c>
    </row>
    <row r="94" spans="1:17" x14ac:dyDescent="0.3">
      <c r="A94">
        <v>6271</v>
      </c>
      <c r="B94" t="s">
        <v>16</v>
      </c>
      <c r="C94" t="s">
        <v>257</v>
      </c>
      <c r="D94" t="s">
        <v>258</v>
      </c>
      <c r="E94" t="s">
        <v>19</v>
      </c>
      <c r="F94" t="s">
        <v>20</v>
      </c>
      <c r="G94" s="4">
        <v>83.43</v>
      </c>
      <c r="H94">
        <v>3535</v>
      </c>
      <c r="I94" t="s">
        <v>259</v>
      </c>
      <c r="J94" t="str">
        <f t="shared" si="4"/>
        <v>G</v>
      </c>
      <c r="K94" t="s">
        <v>260</v>
      </c>
      <c r="L94" t="s">
        <v>20</v>
      </c>
      <c r="M94" s="4">
        <f>G94*1.01</f>
        <v>84.264300000000006</v>
      </c>
      <c r="N94">
        <v>2055</v>
      </c>
      <c r="O94" t="s">
        <v>352</v>
      </c>
      <c r="P94" t="s">
        <v>352</v>
      </c>
      <c r="Q94" t="s">
        <v>353</v>
      </c>
    </row>
    <row r="95" spans="1:17" x14ac:dyDescent="0.3">
      <c r="A95">
        <v>6280</v>
      </c>
      <c r="B95" t="s">
        <v>16</v>
      </c>
      <c r="C95" t="s">
        <v>261</v>
      </c>
      <c r="D95" t="s">
        <v>262</v>
      </c>
      <c r="E95" t="s">
        <v>19</v>
      </c>
      <c r="F95" t="s">
        <v>20</v>
      </c>
      <c r="G95" s="4">
        <v>78.08</v>
      </c>
      <c r="H95">
        <v>3600</v>
      </c>
      <c r="I95" t="s">
        <v>163</v>
      </c>
      <c r="J95" t="str">
        <f t="shared" si="4"/>
        <v>G</v>
      </c>
      <c r="K95" t="s">
        <v>164</v>
      </c>
      <c r="L95" t="s">
        <v>20</v>
      </c>
      <c r="M95" s="4">
        <f>G95*1.01</f>
        <v>78.860799999999998</v>
      </c>
      <c r="N95">
        <v>2055</v>
      </c>
      <c r="O95" t="s">
        <v>352</v>
      </c>
      <c r="P95" t="s">
        <v>352</v>
      </c>
      <c r="Q95" t="s">
        <v>353</v>
      </c>
    </row>
    <row r="96" spans="1:17" x14ac:dyDescent="0.3">
      <c r="A96">
        <v>6289</v>
      </c>
      <c r="B96" t="s">
        <v>16</v>
      </c>
      <c r="C96" t="s">
        <v>263</v>
      </c>
      <c r="D96" t="s">
        <v>264</v>
      </c>
      <c r="E96" t="s">
        <v>19</v>
      </c>
      <c r="F96" t="s">
        <v>20</v>
      </c>
      <c r="G96" s="4">
        <v>83.43</v>
      </c>
      <c r="H96">
        <v>3600</v>
      </c>
      <c r="I96" t="s">
        <v>265</v>
      </c>
      <c r="J96" t="str">
        <f t="shared" si="4"/>
        <v>G</v>
      </c>
      <c r="K96" t="s">
        <v>260</v>
      </c>
      <c r="L96" t="s">
        <v>20</v>
      </c>
      <c r="M96" s="4">
        <f>G96*1.01</f>
        <v>84.264300000000006</v>
      </c>
      <c r="N96">
        <v>2055</v>
      </c>
      <c r="O96" t="s">
        <v>352</v>
      </c>
      <c r="P96" t="s">
        <v>352</v>
      </c>
      <c r="Q96" t="s">
        <v>353</v>
      </c>
    </row>
    <row r="97" spans="1:17" x14ac:dyDescent="0.3">
      <c r="A97">
        <v>6295</v>
      </c>
      <c r="B97" t="s">
        <v>266</v>
      </c>
      <c r="C97" t="s">
        <v>92</v>
      </c>
      <c r="D97" t="s">
        <v>267</v>
      </c>
      <c r="E97" t="s">
        <v>19</v>
      </c>
      <c r="F97" t="s">
        <v>20</v>
      </c>
      <c r="G97" s="4">
        <v>85.96</v>
      </c>
      <c r="H97">
        <v>2055</v>
      </c>
      <c r="I97" t="s">
        <v>33</v>
      </c>
      <c r="J97" t="str">
        <f t="shared" si="4"/>
        <v>G</v>
      </c>
      <c r="K97" t="s">
        <v>34</v>
      </c>
      <c r="L97" t="s">
        <v>20</v>
      </c>
      <c r="M97" s="4">
        <f>G97*1.01</f>
        <v>86.819599999999994</v>
      </c>
      <c r="N97">
        <v>2055</v>
      </c>
      <c r="O97" t="s">
        <v>352</v>
      </c>
      <c r="P97" t="s">
        <v>352</v>
      </c>
      <c r="Q97" t="s">
        <v>353</v>
      </c>
    </row>
    <row r="98" spans="1:17" x14ac:dyDescent="0.3">
      <c r="A98">
        <v>6298</v>
      </c>
      <c r="B98" t="s">
        <v>266</v>
      </c>
      <c r="C98" t="s">
        <v>259</v>
      </c>
      <c r="D98" t="s">
        <v>268</v>
      </c>
      <c r="E98" t="s">
        <v>19</v>
      </c>
      <c r="F98" t="s">
        <v>20</v>
      </c>
      <c r="G98" s="4">
        <v>85.96</v>
      </c>
      <c r="H98">
        <v>2055</v>
      </c>
      <c r="I98" t="s">
        <v>33</v>
      </c>
      <c r="J98" t="str">
        <f t="shared" si="4"/>
        <v>G</v>
      </c>
      <c r="K98" t="s">
        <v>34</v>
      </c>
      <c r="L98" t="s">
        <v>20</v>
      </c>
      <c r="M98" s="4">
        <f>G98*1.01</f>
        <v>86.819599999999994</v>
      </c>
      <c r="N98">
        <v>2055</v>
      </c>
      <c r="O98" t="s">
        <v>352</v>
      </c>
      <c r="P98" t="s">
        <v>352</v>
      </c>
      <c r="Q98" t="s">
        <v>353</v>
      </c>
    </row>
    <row r="99" spans="1:17" x14ac:dyDescent="0.3">
      <c r="A99">
        <v>6301</v>
      </c>
      <c r="B99" t="s">
        <v>266</v>
      </c>
      <c r="C99" t="s">
        <v>265</v>
      </c>
      <c r="D99" t="s">
        <v>269</v>
      </c>
      <c r="E99" t="s">
        <v>19</v>
      </c>
      <c r="F99" t="s">
        <v>20</v>
      </c>
      <c r="G99" s="4">
        <v>85.96</v>
      </c>
      <c r="H99">
        <v>2055</v>
      </c>
      <c r="I99" t="s">
        <v>33</v>
      </c>
      <c r="J99" t="str">
        <f t="shared" si="4"/>
        <v>G</v>
      </c>
      <c r="K99" t="s">
        <v>34</v>
      </c>
      <c r="L99" t="s">
        <v>20</v>
      </c>
      <c r="M99" s="4">
        <f>G99*1.01</f>
        <v>86.819599999999994</v>
      </c>
      <c r="N99">
        <v>2055</v>
      </c>
      <c r="O99" t="s">
        <v>352</v>
      </c>
      <c r="P99" t="s">
        <v>352</v>
      </c>
      <c r="Q99" t="s">
        <v>353</v>
      </c>
    </row>
    <row r="100" spans="1:17" x14ac:dyDescent="0.3">
      <c r="A100">
        <v>6304</v>
      </c>
      <c r="B100" t="s">
        <v>266</v>
      </c>
      <c r="C100" t="s">
        <v>39</v>
      </c>
      <c r="D100" t="s">
        <v>270</v>
      </c>
      <c r="E100" t="s">
        <v>19</v>
      </c>
      <c r="F100" t="s">
        <v>20</v>
      </c>
      <c r="G100" s="4">
        <v>106.02</v>
      </c>
      <c r="H100">
        <v>2055</v>
      </c>
      <c r="I100" t="s">
        <v>271</v>
      </c>
      <c r="J100" t="str">
        <f t="shared" si="4"/>
        <v>G</v>
      </c>
      <c r="K100" t="s">
        <v>272</v>
      </c>
      <c r="L100" t="s">
        <v>20</v>
      </c>
      <c r="M100" s="4">
        <f t="shared" ref="M100:M108" si="5">G100*1.01</f>
        <v>107.08019999999999</v>
      </c>
      <c r="N100">
        <v>2055</v>
      </c>
      <c r="O100" t="s">
        <v>352</v>
      </c>
      <c r="P100" t="s">
        <v>352</v>
      </c>
      <c r="Q100" t="s">
        <v>353</v>
      </c>
    </row>
    <row r="101" spans="1:17" x14ac:dyDescent="0.3">
      <c r="A101">
        <v>6306</v>
      </c>
      <c r="B101" t="s">
        <v>266</v>
      </c>
      <c r="C101" t="s">
        <v>44</v>
      </c>
      <c r="D101" t="s">
        <v>273</v>
      </c>
      <c r="E101" t="s">
        <v>19</v>
      </c>
      <c r="F101" t="s">
        <v>20</v>
      </c>
      <c r="G101" s="4">
        <v>106.02</v>
      </c>
      <c r="H101">
        <v>2055</v>
      </c>
      <c r="I101" t="s">
        <v>271</v>
      </c>
      <c r="J101" t="str">
        <f t="shared" si="4"/>
        <v>G</v>
      </c>
      <c r="K101" t="s">
        <v>272</v>
      </c>
      <c r="L101" t="s">
        <v>20</v>
      </c>
      <c r="M101" s="4">
        <f t="shared" si="5"/>
        <v>107.08019999999999</v>
      </c>
      <c r="N101">
        <v>2055</v>
      </c>
      <c r="O101" t="s">
        <v>352</v>
      </c>
      <c r="P101" t="s">
        <v>352</v>
      </c>
      <c r="Q101" t="s">
        <v>353</v>
      </c>
    </row>
    <row r="102" spans="1:17" x14ac:dyDescent="0.3">
      <c r="A102">
        <v>6307</v>
      </c>
      <c r="B102" t="s">
        <v>266</v>
      </c>
      <c r="C102" t="s">
        <v>44</v>
      </c>
      <c r="D102" t="s">
        <v>273</v>
      </c>
      <c r="E102" t="s">
        <v>19</v>
      </c>
      <c r="F102" t="s">
        <v>20</v>
      </c>
      <c r="G102" s="4">
        <v>106.02</v>
      </c>
      <c r="H102">
        <v>2055</v>
      </c>
      <c r="I102" t="s">
        <v>274</v>
      </c>
      <c r="J102" t="str">
        <f t="shared" si="4"/>
        <v>G</v>
      </c>
      <c r="K102" t="s">
        <v>275</v>
      </c>
      <c r="L102" t="s">
        <v>20</v>
      </c>
      <c r="M102" s="4">
        <f t="shared" si="5"/>
        <v>107.08019999999999</v>
      </c>
      <c r="N102">
        <v>2055</v>
      </c>
      <c r="O102" t="s">
        <v>352</v>
      </c>
      <c r="P102" t="s">
        <v>352</v>
      </c>
      <c r="Q102" t="s">
        <v>353</v>
      </c>
    </row>
    <row r="103" spans="1:17" x14ac:dyDescent="0.3">
      <c r="A103">
        <v>6308</v>
      </c>
      <c r="B103" t="s">
        <v>266</v>
      </c>
      <c r="C103" t="s">
        <v>116</v>
      </c>
      <c r="D103" t="s">
        <v>276</v>
      </c>
      <c r="E103" t="s">
        <v>19</v>
      </c>
      <c r="F103" t="s">
        <v>20</v>
      </c>
      <c r="G103" s="4">
        <v>106.02</v>
      </c>
      <c r="H103">
        <v>2055</v>
      </c>
      <c r="I103" t="s">
        <v>271</v>
      </c>
      <c r="J103" t="str">
        <f t="shared" si="4"/>
        <v>G</v>
      </c>
      <c r="K103" t="s">
        <v>272</v>
      </c>
      <c r="L103" t="s">
        <v>20</v>
      </c>
      <c r="M103" s="4">
        <f t="shared" si="5"/>
        <v>107.08019999999999</v>
      </c>
      <c r="N103">
        <v>2055</v>
      </c>
      <c r="O103" t="s">
        <v>352</v>
      </c>
      <c r="P103" t="s">
        <v>352</v>
      </c>
      <c r="Q103" t="s">
        <v>353</v>
      </c>
    </row>
    <row r="104" spans="1:17" x14ac:dyDescent="0.3">
      <c r="A104">
        <v>6309</v>
      </c>
      <c r="B104" t="s">
        <v>266</v>
      </c>
      <c r="C104" t="s">
        <v>116</v>
      </c>
      <c r="D104" t="s">
        <v>276</v>
      </c>
      <c r="E104" t="s">
        <v>19</v>
      </c>
      <c r="F104" t="s">
        <v>20</v>
      </c>
      <c r="G104" s="4">
        <v>106.02</v>
      </c>
      <c r="H104">
        <v>2055</v>
      </c>
      <c r="I104" t="s">
        <v>274</v>
      </c>
      <c r="J104" t="str">
        <f t="shared" si="4"/>
        <v>G</v>
      </c>
      <c r="K104" t="s">
        <v>275</v>
      </c>
      <c r="L104" t="s">
        <v>20</v>
      </c>
      <c r="M104" s="4">
        <f t="shared" si="5"/>
        <v>107.08019999999999</v>
      </c>
      <c r="N104">
        <v>2055</v>
      </c>
      <c r="O104" t="s">
        <v>352</v>
      </c>
      <c r="P104" t="s">
        <v>352</v>
      </c>
      <c r="Q104" t="s">
        <v>353</v>
      </c>
    </row>
    <row r="105" spans="1:17" x14ac:dyDescent="0.3">
      <c r="A105">
        <v>6310</v>
      </c>
      <c r="B105" t="s">
        <v>266</v>
      </c>
      <c r="C105" t="s">
        <v>145</v>
      </c>
      <c r="D105" t="s">
        <v>277</v>
      </c>
      <c r="E105" t="s">
        <v>19</v>
      </c>
      <c r="F105" t="s">
        <v>20</v>
      </c>
      <c r="G105" s="4">
        <v>106.02</v>
      </c>
      <c r="H105">
        <v>2055</v>
      </c>
      <c r="I105" t="s">
        <v>271</v>
      </c>
      <c r="J105" t="str">
        <f t="shared" si="4"/>
        <v>G</v>
      </c>
      <c r="K105" t="s">
        <v>272</v>
      </c>
      <c r="L105" t="s">
        <v>20</v>
      </c>
      <c r="M105" s="4">
        <f t="shared" si="5"/>
        <v>107.08019999999999</v>
      </c>
      <c r="N105">
        <v>2055</v>
      </c>
      <c r="O105" t="s">
        <v>352</v>
      </c>
      <c r="P105" t="s">
        <v>352</v>
      </c>
      <c r="Q105" t="s">
        <v>353</v>
      </c>
    </row>
    <row r="106" spans="1:17" x14ac:dyDescent="0.3">
      <c r="A106">
        <v>6312</v>
      </c>
      <c r="B106" t="s">
        <v>266</v>
      </c>
      <c r="C106" t="s">
        <v>235</v>
      </c>
      <c r="D106" t="s">
        <v>278</v>
      </c>
      <c r="E106" t="s">
        <v>19</v>
      </c>
      <c r="F106" t="s">
        <v>20</v>
      </c>
      <c r="G106" s="4">
        <v>103.17</v>
      </c>
      <c r="H106">
        <v>2055</v>
      </c>
      <c r="I106" t="s">
        <v>279</v>
      </c>
      <c r="J106" t="str">
        <f t="shared" si="4"/>
        <v>G</v>
      </c>
      <c r="K106" t="s">
        <v>280</v>
      </c>
      <c r="L106" t="s">
        <v>20</v>
      </c>
      <c r="M106" s="4">
        <f t="shared" si="5"/>
        <v>104.2017</v>
      </c>
      <c r="N106">
        <v>2055</v>
      </c>
      <c r="O106" t="s">
        <v>352</v>
      </c>
      <c r="P106" t="s">
        <v>352</v>
      </c>
      <c r="Q106" t="s">
        <v>353</v>
      </c>
    </row>
    <row r="107" spans="1:17" x14ac:dyDescent="0.3">
      <c r="A107">
        <v>6314</v>
      </c>
      <c r="B107" t="s">
        <v>266</v>
      </c>
      <c r="C107" t="s">
        <v>255</v>
      </c>
      <c r="D107" t="s">
        <v>281</v>
      </c>
      <c r="E107" t="s">
        <v>19</v>
      </c>
      <c r="F107" t="s">
        <v>20</v>
      </c>
      <c r="G107" s="4">
        <v>82.4</v>
      </c>
      <c r="H107">
        <v>2055</v>
      </c>
      <c r="I107" t="s">
        <v>282</v>
      </c>
      <c r="J107" t="str">
        <f t="shared" si="4"/>
        <v>G</v>
      </c>
      <c r="K107" t="s">
        <v>283</v>
      </c>
      <c r="L107" t="s">
        <v>20</v>
      </c>
      <c r="M107" s="4">
        <f t="shared" si="5"/>
        <v>83.224000000000004</v>
      </c>
      <c r="N107">
        <v>2055</v>
      </c>
      <c r="O107" t="s">
        <v>352</v>
      </c>
      <c r="P107" t="s">
        <v>352</v>
      </c>
      <c r="Q107" t="s">
        <v>353</v>
      </c>
    </row>
    <row r="108" spans="1:17" x14ac:dyDescent="0.3">
      <c r="A108">
        <v>6316</v>
      </c>
      <c r="B108" t="s">
        <v>266</v>
      </c>
      <c r="C108" t="s">
        <v>202</v>
      </c>
      <c r="D108" t="s">
        <v>284</v>
      </c>
      <c r="E108" t="s">
        <v>19</v>
      </c>
      <c r="F108" t="s">
        <v>20</v>
      </c>
      <c r="G108" s="4">
        <v>84.08</v>
      </c>
      <c r="H108">
        <v>2055</v>
      </c>
      <c r="I108" t="s">
        <v>285</v>
      </c>
      <c r="J108" t="str">
        <f t="shared" si="4"/>
        <v>G</v>
      </c>
      <c r="K108" t="s">
        <v>286</v>
      </c>
      <c r="L108" t="s">
        <v>20</v>
      </c>
      <c r="M108" s="4">
        <f t="shared" si="5"/>
        <v>84.9208</v>
      </c>
      <c r="N108">
        <v>2055</v>
      </c>
      <c r="O108" t="s">
        <v>352</v>
      </c>
      <c r="P108" t="s">
        <v>352</v>
      </c>
      <c r="Q108" t="s">
        <v>353</v>
      </c>
    </row>
    <row r="109" spans="1:17" x14ac:dyDescent="0.3">
      <c r="A109">
        <v>6318</v>
      </c>
      <c r="B109" t="s">
        <v>266</v>
      </c>
      <c r="C109" t="s">
        <v>58</v>
      </c>
      <c r="D109" t="s">
        <v>287</v>
      </c>
      <c r="E109" t="s">
        <v>19</v>
      </c>
      <c r="F109" t="s">
        <v>20</v>
      </c>
      <c r="G109" s="4">
        <v>83.23</v>
      </c>
      <c r="H109">
        <v>2055</v>
      </c>
      <c r="I109" t="s">
        <v>288</v>
      </c>
      <c r="J109" t="str">
        <f t="shared" si="4"/>
        <v>G</v>
      </c>
      <c r="K109" t="s">
        <v>289</v>
      </c>
      <c r="L109" t="s">
        <v>20</v>
      </c>
      <c r="M109" s="4">
        <f>G109*1.01</f>
        <v>84.062300000000008</v>
      </c>
      <c r="N109">
        <v>2055</v>
      </c>
      <c r="O109" t="s">
        <v>352</v>
      </c>
      <c r="P109" t="s">
        <v>352</v>
      </c>
      <c r="Q109" t="s">
        <v>353</v>
      </c>
    </row>
    <row r="110" spans="1:17" x14ac:dyDescent="0.3">
      <c r="A110">
        <v>6321</v>
      </c>
      <c r="B110" t="s">
        <v>266</v>
      </c>
      <c r="C110" t="s">
        <v>83</v>
      </c>
      <c r="D110" t="s">
        <v>290</v>
      </c>
      <c r="E110" t="s">
        <v>19</v>
      </c>
      <c r="F110" t="s">
        <v>20</v>
      </c>
      <c r="G110" s="4">
        <v>83.23</v>
      </c>
      <c r="H110">
        <v>2055</v>
      </c>
      <c r="I110" t="s">
        <v>288</v>
      </c>
      <c r="J110" t="str">
        <f t="shared" si="4"/>
        <v>G</v>
      </c>
      <c r="K110" t="s">
        <v>289</v>
      </c>
      <c r="L110" t="s">
        <v>20</v>
      </c>
      <c r="M110" s="4">
        <f>G110*1.01</f>
        <v>84.062300000000008</v>
      </c>
      <c r="N110">
        <v>2055</v>
      </c>
      <c r="O110" t="s">
        <v>352</v>
      </c>
      <c r="P110" t="s">
        <v>352</v>
      </c>
      <c r="Q110" t="s">
        <v>353</v>
      </c>
    </row>
    <row r="111" spans="1:17" x14ac:dyDescent="0.3">
      <c r="A111">
        <v>6324</v>
      </c>
      <c r="B111" t="s">
        <v>266</v>
      </c>
      <c r="C111" t="s">
        <v>21</v>
      </c>
      <c r="D111" t="s">
        <v>291</v>
      </c>
      <c r="E111" t="s">
        <v>19</v>
      </c>
      <c r="F111" t="s">
        <v>20</v>
      </c>
      <c r="G111" s="4">
        <v>83.23</v>
      </c>
      <c r="H111">
        <v>2055</v>
      </c>
      <c r="I111" t="s">
        <v>288</v>
      </c>
      <c r="J111" t="str">
        <f t="shared" si="4"/>
        <v>G</v>
      </c>
      <c r="K111" t="s">
        <v>289</v>
      </c>
      <c r="L111" t="s">
        <v>20</v>
      </c>
      <c r="M111" s="4">
        <f>G111*1.01</f>
        <v>84.062300000000008</v>
      </c>
      <c r="N111">
        <v>2055</v>
      </c>
      <c r="O111" t="s">
        <v>352</v>
      </c>
      <c r="P111" t="s">
        <v>352</v>
      </c>
      <c r="Q111" t="s">
        <v>353</v>
      </c>
    </row>
    <row r="112" spans="1:17" x14ac:dyDescent="0.3">
      <c r="A112">
        <v>6327</v>
      </c>
      <c r="B112" t="s">
        <v>266</v>
      </c>
      <c r="C112" t="s">
        <v>111</v>
      </c>
      <c r="D112" t="s">
        <v>292</v>
      </c>
      <c r="E112" t="s">
        <v>19</v>
      </c>
      <c r="F112" t="s">
        <v>20</v>
      </c>
      <c r="G112" s="4">
        <v>81.39</v>
      </c>
      <c r="H112">
        <v>2055</v>
      </c>
      <c r="I112" t="s">
        <v>293</v>
      </c>
      <c r="J112" t="str">
        <f t="shared" si="4"/>
        <v>G</v>
      </c>
      <c r="K112" t="s">
        <v>294</v>
      </c>
      <c r="L112" t="s">
        <v>20</v>
      </c>
      <c r="M112" s="4">
        <f>G112*1.01</f>
        <v>82.203900000000004</v>
      </c>
      <c r="N112">
        <v>2055</v>
      </c>
      <c r="O112" t="s">
        <v>352</v>
      </c>
      <c r="P112" t="s">
        <v>352</v>
      </c>
      <c r="Q112" t="s">
        <v>353</v>
      </c>
    </row>
    <row r="113" spans="1:17" x14ac:dyDescent="0.3">
      <c r="A113">
        <v>6330</v>
      </c>
      <c r="B113" t="s">
        <v>266</v>
      </c>
      <c r="C113" t="s">
        <v>28</v>
      </c>
      <c r="D113" t="s">
        <v>295</v>
      </c>
      <c r="E113" t="s">
        <v>19</v>
      </c>
      <c r="F113" t="s">
        <v>20</v>
      </c>
      <c r="G113" s="4">
        <v>81.39</v>
      </c>
      <c r="H113">
        <v>2055</v>
      </c>
      <c r="I113" t="s">
        <v>293</v>
      </c>
      <c r="J113" t="str">
        <f t="shared" si="4"/>
        <v>G</v>
      </c>
      <c r="K113" t="s">
        <v>294</v>
      </c>
      <c r="L113" t="s">
        <v>20</v>
      </c>
      <c r="M113" s="4">
        <f>G113*1.01</f>
        <v>82.203900000000004</v>
      </c>
      <c r="N113">
        <v>2055</v>
      </c>
      <c r="O113" t="s">
        <v>352</v>
      </c>
      <c r="P113" t="s">
        <v>352</v>
      </c>
      <c r="Q113" t="s">
        <v>353</v>
      </c>
    </row>
    <row r="114" spans="1:17" x14ac:dyDescent="0.3">
      <c r="A114">
        <v>6333</v>
      </c>
      <c r="B114" t="s">
        <v>266</v>
      </c>
      <c r="C114" t="s">
        <v>53</v>
      </c>
      <c r="D114" t="s">
        <v>296</v>
      </c>
      <c r="E114" t="s">
        <v>19</v>
      </c>
      <c r="F114" t="s">
        <v>20</v>
      </c>
      <c r="G114" s="4">
        <v>81.39</v>
      </c>
      <c r="H114">
        <v>2055</v>
      </c>
      <c r="I114" t="s">
        <v>293</v>
      </c>
      <c r="J114" t="str">
        <f t="shared" si="4"/>
        <v>G</v>
      </c>
      <c r="K114" t="s">
        <v>294</v>
      </c>
      <c r="L114" t="s">
        <v>20</v>
      </c>
      <c r="M114" s="4">
        <f>G114*1.01</f>
        <v>82.203900000000004</v>
      </c>
      <c r="N114">
        <v>2055</v>
      </c>
      <c r="O114" t="s">
        <v>352</v>
      </c>
      <c r="P114" t="s">
        <v>352</v>
      </c>
      <c r="Q114" t="s">
        <v>353</v>
      </c>
    </row>
    <row r="115" spans="1:17" x14ac:dyDescent="0.3">
      <c r="A115">
        <v>6336</v>
      </c>
      <c r="B115" t="s">
        <v>266</v>
      </c>
      <c r="C115" t="s">
        <v>163</v>
      </c>
      <c r="D115" t="s">
        <v>297</v>
      </c>
      <c r="E115" t="s">
        <v>19</v>
      </c>
      <c r="F115" t="s">
        <v>20</v>
      </c>
      <c r="G115" s="4">
        <v>79.265000000000001</v>
      </c>
      <c r="H115">
        <v>2055</v>
      </c>
      <c r="I115" t="s">
        <v>298</v>
      </c>
      <c r="J115" t="str">
        <f t="shared" si="4"/>
        <v>G</v>
      </c>
      <c r="K115" t="s">
        <v>299</v>
      </c>
      <c r="L115" t="s">
        <v>20</v>
      </c>
      <c r="M115" s="4">
        <f>G115*1.01</f>
        <v>80.057649999999995</v>
      </c>
      <c r="N115">
        <v>2055</v>
      </c>
      <c r="O115" t="s">
        <v>352</v>
      </c>
      <c r="P115" t="s">
        <v>352</v>
      </c>
      <c r="Q115" t="s">
        <v>353</v>
      </c>
    </row>
    <row r="116" spans="1:17" x14ac:dyDescent="0.3">
      <c r="A116">
        <v>6339</v>
      </c>
      <c r="B116" t="s">
        <v>266</v>
      </c>
      <c r="C116" t="s">
        <v>125</v>
      </c>
      <c r="D116" t="s">
        <v>300</v>
      </c>
      <c r="E116" t="s">
        <v>19</v>
      </c>
      <c r="F116" t="s">
        <v>20</v>
      </c>
      <c r="G116" s="4">
        <v>83.12</v>
      </c>
      <c r="H116">
        <v>2055</v>
      </c>
      <c r="I116" t="s">
        <v>301</v>
      </c>
      <c r="J116" t="str">
        <f t="shared" si="4"/>
        <v>G</v>
      </c>
      <c r="K116" t="s">
        <v>302</v>
      </c>
      <c r="L116" t="s">
        <v>20</v>
      </c>
      <c r="M116" s="4">
        <f>G116*1.01</f>
        <v>83.9512</v>
      </c>
      <c r="N116">
        <v>2055</v>
      </c>
      <c r="O116" t="s">
        <v>352</v>
      </c>
      <c r="P116" t="s">
        <v>352</v>
      </c>
      <c r="Q116" t="s">
        <v>353</v>
      </c>
    </row>
    <row r="117" spans="1:17" x14ac:dyDescent="0.3">
      <c r="A117">
        <v>6342</v>
      </c>
      <c r="B117" t="s">
        <v>266</v>
      </c>
      <c r="C117" t="s">
        <v>189</v>
      </c>
      <c r="D117" t="s">
        <v>303</v>
      </c>
      <c r="E117" t="s">
        <v>19</v>
      </c>
      <c r="F117" t="s">
        <v>20</v>
      </c>
      <c r="G117" s="4">
        <v>83.12</v>
      </c>
      <c r="H117">
        <v>2055</v>
      </c>
      <c r="I117" t="s">
        <v>301</v>
      </c>
      <c r="J117" t="str">
        <f t="shared" si="4"/>
        <v>G</v>
      </c>
      <c r="K117" t="s">
        <v>302</v>
      </c>
      <c r="L117" t="s">
        <v>20</v>
      </c>
      <c r="M117" s="4">
        <f>G117*1.01</f>
        <v>83.9512</v>
      </c>
      <c r="N117">
        <v>2055</v>
      </c>
      <c r="O117" t="s">
        <v>352</v>
      </c>
      <c r="P117" t="s">
        <v>352</v>
      </c>
      <c r="Q117" t="s">
        <v>353</v>
      </c>
    </row>
    <row r="118" spans="1:17" x14ac:dyDescent="0.3">
      <c r="A118">
        <v>6345</v>
      </c>
      <c r="B118" t="s">
        <v>266</v>
      </c>
      <c r="C118" t="s">
        <v>103</v>
      </c>
      <c r="D118" t="s">
        <v>304</v>
      </c>
      <c r="E118" t="s">
        <v>19</v>
      </c>
      <c r="F118" t="s">
        <v>20</v>
      </c>
      <c r="G118" s="4">
        <v>78.084999999999994</v>
      </c>
      <c r="H118">
        <v>2055</v>
      </c>
      <c r="I118" t="s">
        <v>305</v>
      </c>
      <c r="J118" t="str">
        <f t="shared" si="4"/>
        <v>G</v>
      </c>
      <c r="K118" t="s">
        <v>306</v>
      </c>
      <c r="L118" t="s">
        <v>20</v>
      </c>
      <c r="M118" s="4">
        <f>G118*1.01</f>
        <v>78.865849999999995</v>
      </c>
      <c r="N118">
        <v>2055</v>
      </c>
      <c r="O118" t="s">
        <v>352</v>
      </c>
      <c r="P118" t="s">
        <v>352</v>
      </c>
      <c r="Q118" t="s">
        <v>353</v>
      </c>
    </row>
    <row r="119" spans="1:17" x14ac:dyDescent="0.3">
      <c r="A119">
        <v>6348</v>
      </c>
      <c r="B119" t="s">
        <v>266</v>
      </c>
      <c r="C119" t="s">
        <v>176</v>
      </c>
      <c r="D119" t="s">
        <v>307</v>
      </c>
      <c r="E119" t="s">
        <v>19</v>
      </c>
      <c r="F119" t="s">
        <v>20</v>
      </c>
      <c r="G119" s="4">
        <v>83.144999999999996</v>
      </c>
      <c r="H119">
        <v>2055</v>
      </c>
      <c r="I119" t="s">
        <v>308</v>
      </c>
      <c r="J119" t="str">
        <f t="shared" si="4"/>
        <v>G</v>
      </c>
      <c r="K119" t="s">
        <v>309</v>
      </c>
      <c r="L119" t="s">
        <v>20</v>
      </c>
      <c r="M119" s="4">
        <f>G119*1.01</f>
        <v>83.97645</v>
      </c>
      <c r="N119">
        <v>2055</v>
      </c>
      <c r="O119" t="s">
        <v>352</v>
      </c>
      <c r="P119" t="s">
        <v>352</v>
      </c>
      <c r="Q119" t="s">
        <v>353</v>
      </c>
    </row>
    <row r="120" spans="1:17" x14ac:dyDescent="0.3">
      <c r="A120">
        <v>6351</v>
      </c>
      <c r="B120" t="s">
        <v>266</v>
      </c>
      <c r="C120" t="s">
        <v>171</v>
      </c>
      <c r="D120" t="s">
        <v>310</v>
      </c>
      <c r="E120" t="s">
        <v>19</v>
      </c>
      <c r="F120" t="s">
        <v>20</v>
      </c>
      <c r="G120" s="4">
        <v>79.45</v>
      </c>
      <c r="H120">
        <v>2055</v>
      </c>
      <c r="I120" t="s">
        <v>311</v>
      </c>
      <c r="J120" t="str">
        <f t="shared" si="4"/>
        <v>G</v>
      </c>
      <c r="K120" t="s">
        <v>312</v>
      </c>
      <c r="L120" t="s">
        <v>20</v>
      </c>
      <c r="M120" s="4">
        <f>G120*1.01</f>
        <v>80.244500000000002</v>
      </c>
      <c r="N120">
        <v>2055</v>
      </c>
      <c r="O120" t="s">
        <v>352</v>
      </c>
      <c r="P120" t="s">
        <v>352</v>
      </c>
      <c r="Q120" t="s">
        <v>353</v>
      </c>
    </row>
    <row r="121" spans="1:17" x14ac:dyDescent="0.3">
      <c r="A121">
        <v>6354</v>
      </c>
      <c r="B121" t="s">
        <v>266</v>
      </c>
      <c r="C121" t="s">
        <v>197</v>
      </c>
      <c r="D121" t="s">
        <v>313</v>
      </c>
      <c r="E121" t="s">
        <v>19</v>
      </c>
      <c r="F121" t="s">
        <v>20</v>
      </c>
      <c r="G121" s="4">
        <v>83.74</v>
      </c>
      <c r="H121">
        <v>2055</v>
      </c>
      <c r="I121" t="s">
        <v>314</v>
      </c>
      <c r="J121" t="str">
        <f t="shared" si="4"/>
        <v>G</v>
      </c>
      <c r="K121" t="s">
        <v>315</v>
      </c>
      <c r="L121" t="s">
        <v>20</v>
      </c>
      <c r="M121" s="4">
        <f>G121*1.01</f>
        <v>84.577399999999997</v>
      </c>
      <c r="N121">
        <v>2055</v>
      </c>
      <c r="O121" t="s">
        <v>352</v>
      </c>
      <c r="P121" t="s">
        <v>352</v>
      </c>
      <c r="Q121" t="s">
        <v>353</v>
      </c>
    </row>
    <row r="122" spans="1:17" x14ac:dyDescent="0.3">
      <c r="A122">
        <v>6357</v>
      </c>
      <c r="B122" t="s">
        <v>266</v>
      </c>
      <c r="C122" t="s">
        <v>184</v>
      </c>
      <c r="D122" t="s">
        <v>316</v>
      </c>
      <c r="E122" t="s">
        <v>19</v>
      </c>
      <c r="F122" t="s">
        <v>20</v>
      </c>
      <c r="G122" s="4">
        <v>84.250100000000003</v>
      </c>
      <c r="H122">
        <v>2055</v>
      </c>
      <c r="I122" t="s">
        <v>317</v>
      </c>
      <c r="J122" t="str">
        <f t="shared" si="4"/>
        <v>G</v>
      </c>
      <c r="K122" t="s">
        <v>318</v>
      </c>
      <c r="L122" t="s">
        <v>20</v>
      </c>
      <c r="M122" s="4">
        <f>G122*1.01</f>
        <v>85.092601000000002</v>
      </c>
      <c r="N122">
        <v>2055</v>
      </c>
      <c r="O122" t="s">
        <v>352</v>
      </c>
      <c r="P122" t="s">
        <v>352</v>
      </c>
      <c r="Q122" t="s">
        <v>353</v>
      </c>
    </row>
    <row r="123" spans="1:17" x14ac:dyDescent="0.3">
      <c r="A123">
        <v>6360</v>
      </c>
      <c r="B123" t="s">
        <v>266</v>
      </c>
      <c r="C123" t="s">
        <v>193</v>
      </c>
      <c r="D123" t="s">
        <v>319</v>
      </c>
      <c r="E123" t="s">
        <v>19</v>
      </c>
      <c r="F123" t="s">
        <v>20</v>
      </c>
      <c r="G123" s="4">
        <v>83.73</v>
      </c>
      <c r="H123">
        <v>2055</v>
      </c>
      <c r="I123" t="s">
        <v>320</v>
      </c>
      <c r="J123" t="str">
        <f t="shared" si="4"/>
        <v>G</v>
      </c>
      <c r="K123" t="s">
        <v>321</v>
      </c>
      <c r="L123" t="s">
        <v>20</v>
      </c>
      <c r="M123" s="4">
        <f>G123*1.01</f>
        <v>84.567300000000003</v>
      </c>
      <c r="N123">
        <v>2055</v>
      </c>
      <c r="O123" t="s">
        <v>352</v>
      </c>
      <c r="P123" t="s">
        <v>352</v>
      </c>
      <c r="Q123" t="s">
        <v>353</v>
      </c>
    </row>
    <row r="124" spans="1:17" x14ac:dyDescent="0.3">
      <c r="A124">
        <v>6363</v>
      </c>
      <c r="B124" t="s">
        <v>266</v>
      </c>
      <c r="C124" t="s">
        <v>96</v>
      </c>
      <c r="D124" t="s">
        <v>322</v>
      </c>
      <c r="E124" t="s">
        <v>19</v>
      </c>
      <c r="F124" t="s">
        <v>20</v>
      </c>
      <c r="G124" s="4">
        <v>85.73</v>
      </c>
      <c r="H124">
        <v>2055</v>
      </c>
      <c r="I124" t="s">
        <v>121</v>
      </c>
      <c r="J124" t="str">
        <f t="shared" ref="J124:J137" si="6">LEFT(I124,1)</f>
        <v>G</v>
      </c>
      <c r="K124" t="s">
        <v>122</v>
      </c>
      <c r="L124" t="s">
        <v>20</v>
      </c>
      <c r="M124" s="4">
        <f>G124*1.01</f>
        <v>86.587299999999999</v>
      </c>
      <c r="N124">
        <v>2055</v>
      </c>
      <c r="O124" t="s">
        <v>352</v>
      </c>
      <c r="P124" t="s">
        <v>352</v>
      </c>
      <c r="Q124" t="s">
        <v>353</v>
      </c>
    </row>
    <row r="125" spans="1:17" x14ac:dyDescent="0.3">
      <c r="A125">
        <v>6366</v>
      </c>
      <c r="B125" t="s">
        <v>266</v>
      </c>
      <c r="C125" t="s">
        <v>217</v>
      </c>
      <c r="D125" t="s">
        <v>323</v>
      </c>
      <c r="E125" t="s">
        <v>19</v>
      </c>
      <c r="F125" t="s">
        <v>20</v>
      </c>
      <c r="G125" s="4">
        <v>85.73</v>
      </c>
      <c r="H125">
        <v>2055</v>
      </c>
      <c r="I125" t="s">
        <v>121</v>
      </c>
      <c r="J125" t="str">
        <f t="shared" si="6"/>
        <v>G</v>
      </c>
      <c r="K125" t="s">
        <v>122</v>
      </c>
      <c r="L125" t="s">
        <v>20</v>
      </c>
      <c r="M125" s="4">
        <f>G125*1.01</f>
        <v>86.587299999999999</v>
      </c>
      <c r="N125">
        <v>2055</v>
      </c>
      <c r="O125" t="s">
        <v>352</v>
      </c>
      <c r="P125" t="s">
        <v>352</v>
      </c>
      <c r="Q125" t="s">
        <v>353</v>
      </c>
    </row>
    <row r="126" spans="1:17" x14ac:dyDescent="0.3">
      <c r="A126">
        <v>6369</v>
      </c>
      <c r="B126" t="s">
        <v>266</v>
      </c>
      <c r="C126" t="s">
        <v>225</v>
      </c>
      <c r="D126" t="s">
        <v>324</v>
      </c>
      <c r="E126" t="s">
        <v>19</v>
      </c>
      <c r="F126" t="s">
        <v>20</v>
      </c>
      <c r="G126" s="4">
        <v>82.940100000000001</v>
      </c>
      <c r="H126">
        <v>2055</v>
      </c>
      <c r="I126" t="s">
        <v>325</v>
      </c>
      <c r="J126" t="str">
        <f t="shared" si="6"/>
        <v>G</v>
      </c>
      <c r="K126" t="s">
        <v>326</v>
      </c>
      <c r="L126" t="s">
        <v>20</v>
      </c>
      <c r="M126" s="4">
        <f>G126*1.01</f>
        <v>83.769501000000005</v>
      </c>
      <c r="N126">
        <v>2055</v>
      </c>
      <c r="O126" t="s">
        <v>352</v>
      </c>
      <c r="P126" t="s">
        <v>352</v>
      </c>
      <c r="Q126" t="s">
        <v>353</v>
      </c>
    </row>
    <row r="127" spans="1:17" x14ac:dyDescent="0.3">
      <c r="A127">
        <v>6372</v>
      </c>
      <c r="B127" t="s">
        <v>266</v>
      </c>
      <c r="C127" t="s">
        <v>48</v>
      </c>
      <c r="D127" t="s">
        <v>327</v>
      </c>
      <c r="E127" t="s">
        <v>19</v>
      </c>
      <c r="F127" t="s">
        <v>20</v>
      </c>
      <c r="G127" s="4">
        <v>81</v>
      </c>
      <c r="H127">
        <v>2055</v>
      </c>
      <c r="I127" t="s">
        <v>328</v>
      </c>
      <c r="J127" t="str">
        <f t="shared" si="6"/>
        <v>G</v>
      </c>
      <c r="K127" t="s">
        <v>329</v>
      </c>
      <c r="L127" t="s">
        <v>20</v>
      </c>
      <c r="M127" s="4">
        <f>G127*1.01</f>
        <v>81.81</v>
      </c>
      <c r="N127">
        <v>2055</v>
      </c>
      <c r="O127" t="s">
        <v>352</v>
      </c>
      <c r="P127" t="s">
        <v>352</v>
      </c>
      <c r="Q127" t="s">
        <v>353</v>
      </c>
    </row>
    <row r="128" spans="1:17" x14ac:dyDescent="0.3">
      <c r="A128">
        <v>6374</v>
      </c>
      <c r="B128" t="s">
        <v>266</v>
      </c>
      <c r="C128" t="s">
        <v>243</v>
      </c>
      <c r="D128" t="s">
        <v>330</v>
      </c>
      <c r="E128" t="s">
        <v>19</v>
      </c>
      <c r="F128" t="s">
        <v>20</v>
      </c>
      <c r="G128" s="4">
        <v>79.47</v>
      </c>
      <c r="H128">
        <v>2055</v>
      </c>
      <c r="I128" t="s">
        <v>331</v>
      </c>
      <c r="J128" t="str">
        <f t="shared" si="6"/>
        <v>G</v>
      </c>
      <c r="K128" t="s">
        <v>332</v>
      </c>
      <c r="L128" t="s">
        <v>20</v>
      </c>
      <c r="M128" s="4">
        <f t="shared" ref="M128:M129" si="7">G128*1.01</f>
        <v>80.264700000000005</v>
      </c>
      <c r="N128">
        <v>2055</v>
      </c>
      <c r="O128" t="s">
        <v>352</v>
      </c>
      <c r="P128" t="s">
        <v>352</v>
      </c>
      <c r="Q128" t="s">
        <v>353</v>
      </c>
    </row>
    <row r="129" spans="1:17" x14ac:dyDescent="0.3">
      <c r="A129">
        <v>6375</v>
      </c>
      <c r="B129" t="s">
        <v>266</v>
      </c>
      <c r="C129" t="s">
        <v>333</v>
      </c>
      <c r="D129" t="s">
        <v>334</v>
      </c>
      <c r="E129" t="s">
        <v>19</v>
      </c>
      <c r="F129" t="s">
        <v>20</v>
      </c>
      <c r="G129" s="4">
        <v>98.64</v>
      </c>
      <c r="H129">
        <v>2055</v>
      </c>
      <c r="I129" t="s">
        <v>335</v>
      </c>
      <c r="J129" t="str">
        <f t="shared" si="6"/>
        <v>G</v>
      </c>
      <c r="K129" t="s">
        <v>336</v>
      </c>
      <c r="L129" t="s">
        <v>20</v>
      </c>
      <c r="M129" s="4">
        <f t="shared" si="7"/>
        <v>99.626400000000004</v>
      </c>
      <c r="N129">
        <v>2055</v>
      </c>
      <c r="O129" t="s">
        <v>352</v>
      </c>
      <c r="P129" t="s">
        <v>352</v>
      </c>
      <c r="Q129" t="s">
        <v>353</v>
      </c>
    </row>
    <row r="130" spans="1:17" x14ac:dyDescent="0.3">
      <c r="A130">
        <v>6535</v>
      </c>
      <c r="B130" t="s">
        <v>266</v>
      </c>
      <c r="C130" t="s">
        <v>141</v>
      </c>
      <c r="D130" t="s">
        <v>337</v>
      </c>
      <c r="E130" t="s">
        <v>19</v>
      </c>
      <c r="F130" t="s">
        <v>20</v>
      </c>
      <c r="G130" s="4">
        <v>76.59</v>
      </c>
      <c r="H130">
        <v>2055</v>
      </c>
      <c r="I130" t="s">
        <v>338</v>
      </c>
      <c r="J130" t="str">
        <f t="shared" si="6"/>
        <v>G</v>
      </c>
      <c r="K130" t="s">
        <v>339</v>
      </c>
      <c r="L130" t="s">
        <v>20</v>
      </c>
      <c r="M130" s="4">
        <f>G130*1.01</f>
        <v>77.355900000000005</v>
      </c>
      <c r="N130">
        <v>2055</v>
      </c>
      <c r="O130" t="s">
        <v>352</v>
      </c>
      <c r="P130" t="s">
        <v>352</v>
      </c>
      <c r="Q130" t="s">
        <v>353</v>
      </c>
    </row>
    <row r="131" spans="1:17" x14ac:dyDescent="0.3">
      <c r="A131">
        <v>6537</v>
      </c>
      <c r="B131" t="s">
        <v>266</v>
      </c>
      <c r="C131" t="s">
        <v>149</v>
      </c>
      <c r="D131" t="s">
        <v>340</v>
      </c>
      <c r="E131" t="s">
        <v>19</v>
      </c>
      <c r="F131" t="s">
        <v>20</v>
      </c>
      <c r="G131" s="4">
        <v>76.59</v>
      </c>
      <c r="H131">
        <v>2055</v>
      </c>
      <c r="I131" t="s">
        <v>338</v>
      </c>
      <c r="J131" t="str">
        <f t="shared" si="6"/>
        <v>G</v>
      </c>
      <c r="K131" t="s">
        <v>339</v>
      </c>
      <c r="L131" t="s">
        <v>20</v>
      </c>
      <c r="M131" s="4">
        <f>G131*1.01</f>
        <v>77.355900000000005</v>
      </c>
      <c r="N131">
        <v>2055</v>
      </c>
      <c r="O131" t="s">
        <v>352</v>
      </c>
      <c r="P131" t="s">
        <v>352</v>
      </c>
      <c r="Q131" t="s">
        <v>353</v>
      </c>
    </row>
    <row r="132" spans="1:17" x14ac:dyDescent="0.3">
      <c r="A132">
        <v>6539</v>
      </c>
      <c r="B132" t="s">
        <v>16</v>
      </c>
      <c r="C132" t="s">
        <v>152</v>
      </c>
      <c r="D132" t="s">
        <v>341</v>
      </c>
      <c r="E132" t="s">
        <v>19</v>
      </c>
      <c r="F132" t="s">
        <v>20</v>
      </c>
      <c r="G132" s="4">
        <v>85.1</v>
      </c>
      <c r="H132">
        <v>3535</v>
      </c>
      <c r="I132" t="s">
        <v>92</v>
      </c>
      <c r="J132" t="str">
        <f t="shared" si="6"/>
        <v>G</v>
      </c>
      <c r="K132" t="s">
        <v>93</v>
      </c>
      <c r="L132" t="s">
        <v>20</v>
      </c>
      <c r="M132" s="4">
        <f>G132*1.01</f>
        <v>85.950999999999993</v>
      </c>
      <c r="N132">
        <v>2055</v>
      </c>
      <c r="O132" t="s">
        <v>352</v>
      </c>
      <c r="P132" t="s">
        <v>352</v>
      </c>
      <c r="Q132" t="s">
        <v>353</v>
      </c>
    </row>
    <row r="133" spans="1:17" x14ac:dyDescent="0.3">
      <c r="A133">
        <v>6541</v>
      </c>
      <c r="B133" t="s">
        <v>16</v>
      </c>
      <c r="C133" t="s">
        <v>342</v>
      </c>
      <c r="D133" t="s">
        <v>343</v>
      </c>
      <c r="E133" t="s">
        <v>19</v>
      </c>
      <c r="F133" t="s">
        <v>20</v>
      </c>
      <c r="G133" s="4">
        <v>81</v>
      </c>
      <c r="H133">
        <v>3535</v>
      </c>
      <c r="I133" t="s">
        <v>48</v>
      </c>
      <c r="J133" t="str">
        <f t="shared" si="6"/>
        <v>G</v>
      </c>
      <c r="K133" t="s">
        <v>49</v>
      </c>
      <c r="L133" t="s">
        <v>20</v>
      </c>
      <c r="M133" s="4">
        <f>G133*1.01</f>
        <v>81.81</v>
      </c>
      <c r="N133">
        <v>2055</v>
      </c>
      <c r="O133" t="s">
        <v>352</v>
      </c>
      <c r="P133" t="s">
        <v>352</v>
      </c>
      <c r="Q133" t="s">
        <v>353</v>
      </c>
    </row>
    <row r="134" spans="1:17" x14ac:dyDescent="0.3">
      <c r="A134">
        <v>6544</v>
      </c>
      <c r="B134" t="s">
        <v>16</v>
      </c>
      <c r="C134" t="s">
        <v>344</v>
      </c>
      <c r="D134" t="s">
        <v>345</v>
      </c>
      <c r="E134" t="s">
        <v>19</v>
      </c>
      <c r="F134" t="s">
        <v>20</v>
      </c>
      <c r="G134" s="4">
        <v>98.64</v>
      </c>
      <c r="H134">
        <v>3535</v>
      </c>
      <c r="I134" t="s">
        <v>333</v>
      </c>
      <c r="J134" t="str">
        <f t="shared" si="6"/>
        <v>G</v>
      </c>
      <c r="K134" t="s">
        <v>346</v>
      </c>
      <c r="L134" t="s">
        <v>20</v>
      </c>
      <c r="M134" s="4">
        <f>G134*1.01</f>
        <v>99.626400000000004</v>
      </c>
      <c r="N134">
        <v>2055</v>
      </c>
      <c r="O134" t="s">
        <v>352</v>
      </c>
      <c r="P134" t="s">
        <v>352</v>
      </c>
      <c r="Q134" t="s">
        <v>353</v>
      </c>
    </row>
    <row r="135" spans="1:17" x14ac:dyDescent="0.3">
      <c r="A135">
        <v>6547</v>
      </c>
      <c r="B135" t="s">
        <v>16</v>
      </c>
      <c r="C135" t="s">
        <v>261</v>
      </c>
      <c r="D135" t="s">
        <v>347</v>
      </c>
      <c r="E135" t="s">
        <v>19</v>
      </c>
      <c r="F135" t="s">
        <v>20</v>
      </c>
      <c r="G135" s="4">
        <v>78.53</v>
      </c>
      <c r="H135">
        <v>3535</v>
      </c>
      <c r="I135" t="s">
        <v>163</v>
      </c>
      <c r="J135" t="str">
        <f t="shared" si="6"/>
        <v>G</v>
      </c>
      <c r="K135" t="s">
        <v>164</v>
      </c>
      <c r="L135" t="s">
        <v>20</v>
      </c>
      <c r="M135" s="4">
        <f>G135*1.01</f>
        <v>79.315300000000008</v>
      </c>
      <c r="N135">
        <v>2055</v>
      </c>
      <c r="O135" t="s">
        <v>352</v>
      </c>
      <c r="P135" t="s">
        <v>352</v>
      </c>
      <c r="Q135" t="s">
        <v>353</v>
      </c>
    </row>
    <row r="136" spans="1:17" x14ac:dyDescent="0.3">
      <c r="A136">
        <v>6550</v>
      </c>
      <c r="B136" t="s">
        <v>16</v>
      </c>
      <c r="C136" t="s">
        <v>137</v>
      </c>
      <c r="D136" t="s">
        <v>348</v>
      </c>
      <c r="E136" t="s">
        <v>19</v>
      </c>
      <c r="F136" t="s">
        <v>20</v>
      </c>
      <c r="G136" s="4">
        <v>81</v>
      </c>
      <c r="H136">
        <v>3535</v>
      </c>
      <c r="I136" t="s">
        <v>48</v>
      </c>
      <c r="J136" t="str">
        <f t="shared" si="6"/>
        <v>G</v>
      </c>
      <c r="K136" t="s">
        <v>49</v>
      </c>
      <c r="L136" t="s">
        <v>20</v>
      </c>
      <c r="M136" s="4">
        <f>G136*1.01</f>
        <v>81.81</v>
      </c>
      <c r="N136">
        <v>2055</v>
      </c>
      <c r="O136" t="s">
        <v>352</v>
      </c>
      <c r="P136" t="s">
        <v>352</v>
      </c>
      <c r="Q136" t="s">
        <v>353</v>
      </c>
    </row>
    <row r="137" spans="1:17" x14ac:dyDescent="0.3">
      <c r="A137">
        <v>6760</v>
      </c>
      <c r="B137" t="s">
        <v>16</v>
      </c>
      <c r="C137" t="s">
        <v>187</v>
      </c>
      <c r="D137" t="s">
        <v>349</v>
      </c>
      <c r="E137" t="s">
        <v>19</v>
      </c>
      <c r="F137" t="s">
        <v>20</v>
      </c>
      <c r="G137" s="4">
        <v>82.29</v>
      </c>
      <c r="H137">
        <v>3600</v>
      </c>
      <c r="I137" t="s">
        <v>189</v>
      </c>
      <c r="J137" t="str">
        <f t="shared" si="6"/>
        <v>G</v>
      </c>
      <c r="K137" t="s">
        <v>190</v>
      </c>
      <c r="L137" t="s">
        <v>20</v>
      </c>
      <c r="M137" s="4">
        <f>G137*1.01</f>
        <v>83.11290000000001</v>
      </c>
      <c r="N137">
        <v>2055</v>
      </c>
      <c r="O137" t="s">
        <v>352</v>
      </c>
      <c r="P137" t="s">
        <v>352</v>
      </c>
      <c r="Q137" t="s">
        <v>353</v>
      </c>
    </row>
    <row r="143" spans="1:17" x14ac:dyDescent="0.3">
      <c r="K143" t="s">
        <v>350</v>
      </c>
    </row>
  </sheetData>
  <autoFilter ref="A1:Q137" xr:uid="{FF42AE67-EC72-4266-BE2F-C7992943BEB5}"/>
  <phoneticPr fontId="2" type="noConversion"/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2025-04-30T09:59:29Z</dcterms:created>
  <dcterms:modified xsi:type="dcterms:W3CDTF">2025-05-01T04:57:42Z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2025-04-30T09:59:55Z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df9f5bed-2803-4c2b-bddd-fb3d3198b20b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